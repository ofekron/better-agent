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gmabusinessdevelopment-my.sharepoint.com/personal/nadav_strumtza_sbd-group_net/Documents/Desktop/"/>
    </mc:Choice>
  </mc:AlternateContent>
  <xr:revisionPtr revIDLastSave="4" documentId="8_{973ED052-E46E-4A2D-89B3-2D4BC75BE4B3}" xr6:coauthVersionLast="47" xr6:coauthVersionMax="47" xr10:uidLastSave="{B7EE4A98-1730-40C3-9AF5-F91DCED848D1}"/>
  <bookViews>
    <workbookView xWindow="-98" yWindow="-98" windowWidth="21795" windowHeight="12975" xr2:uid="{00000000-000D-0000-FFFF-FFFF00000000}"/>
  </bookViews>
  <sheets>
    <sheet name="Dashboard" sheetId="1" r:id="rId1"/>
    <sheet name="Project Info" sheetId="2" r:id="rId2"/>
    <sheet name="Technical Discussions" sheetId="3" r:id="rId3"/>
    <sheet name="Action Items" sheetId="4" r:id="rId4"/>
    <sheet name="Meetings" sheetId="5" r:id="rId5"/>
    <sheet name="RFQ Tracker" sheetId="6" r:id="rId6"/>
    <sheet name="Lists" sheetId="7" r:id="rId7"/>
    <sheet name="System" sheetId="8" r:id="rId8"/>
  </sheets>
  <definedNames>
    <definedName name="_xlnm._FilterDatabase" localSheetId="2" hidden="1">'Technical Discussions'!$A$1:$U$1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8" l="1" a="1"/>
  <c r="D2" i="8" a="1"/>
  <c r="D2" i="8" s="1"/>
  <c r="A13" i="3" a="1"/>
  <c r="A13" i="3" s="1"/>
  <c r="A14" i="3" a="1"/>
  <c r="A14" i="3" s="1"/>
  <c r="A15" i="3" a="1"/>
  <c r="A15" i="3" s="1"/>
  <c r="A16" i="3" a="1"/>
  <c r="A16" i="3" s="1"/>
  <c r="A17" i="3" a="1"/>
  <c r="A17" i="3"/>
  <c r="Y3" i="8"/>
  <c r="Z3" i="8" s="1"/>
  <c r="C25" i="1" s="1"/>
  <c r="Y4" i="8"/>
  <c r="Z4" i="8" s="1"/>
  <c r="C26" i="1" s="1"/>
  <c r="Y5" i="8"/>
  <c r="B27" i="1" s="1"/>
  <c r="Y6" i="8"/>
  <c r="B28" i="1" s="1"/>
  <c r="Y7" i="8"/>
  <c r="B29" i="1" s="1"/>
  <c r="Y8" i="8"/>
  <c r="Z8" i="8" s="1"/>
  <c r="C30" i="1" s="1"/>
  <c r="Y9" i="8"/>
  <c r="B31" i="1" s="1"/>
  <c r="Y10" i="8"/>
  <c r="B32" i="1" s="1"/>
  <c r="Y11" i="8"/>
  <c r="B33" i="1" s="1"/>
  <c r="Y12" i="8"/>
  <c r="B34" i="1" s="1"/>
  <c r="Y13" i="8"/>
  <c r="B35" i="1" s="1"/>
  <c r="Y14" i="8"/>
  <c r="B36" i="1" s="1"/>
  <c r="Y2" i="8"/>
  <c r="Z2" i="8" s="1"/>
  <c r="C24" i="1" s="1"/>
  <c r="B3" i="8"/>
  <c r="B5" i="8"/>
  <c r="B7" i="8"/>
  <c r="B2" i="8"/>
  <c r="B10" i="8"/>
  <c r="B4" i="8"/>
  <c r="W3" i="8"/>
  <c r="W4" i="8"/>
  <c r="W2" i="8"/>
  <c r="J2" i="8" l="1"/>
  <c r="H24" i="1" s="1" a="1"/>
  <c r="H24" i="1" s="1"/>
  <c r="Z14" i="8"/>
  <c r="C36" i="1" s="1"/>
  <c r="Z10" i="8"/>
  <c r="C32" i="1" s="1"/>
  <c r="Z13" i="8"/>
  <c r="C35" i="1" s="1"/>
  <c r="Z12" i="8"/>
  <c r="C34" i="1" s="1"/>
  <c r="Z11" i="8"/>
  <c r="C33" i="1" s="1"/>
  <c r="B26" i="1"/>
  <c r="B25" i="1"/>
  <c r="Z9" i="8"/>
  <c r="C31" i="1" s="1"/>
  <c r="B30" i="1"/>
  <c r="Z7" i="8"/>
  <c r="C29" i="1" s="1"/>
  <c r="B24" i="1"/>
  <c r="Z6" i="8"/>
  <c r="C28" i="1" s="1"/>
  <c r="Z5" i="8"/>
  <c r="C27" i="1" s="1"/>
  <c r="B8" i="8" a="1"/>
  <c r="B8" i="8" s="1"/>
  <c r="M10" i="1" s="1"/>
  <c r="B40" i="1" a="1"/>
  <c r="B40" i="1" s="1"/>
  <c r="L10" i="1" l="1"/>
  <c r="P2" i="8" l="1" a="1"/>
  <c r="P2" i="8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<sst xmlns="http://schemas.openxmlformats.org/spreadsheetml/2006/main" count="184" uniqueCount="139">
  <si>
    <t>Priority</t>
  </si>
  <si>
    <t>High</t>
  </si>
  <si>
    <t>Medium</t>
  </si>
  <si>
    <t>Low</t>
  </si>
  <si>
    <t>Status</t>
  </si>
  <si>
    <t>Open</t>
  </si>
  <si>
    <t>Waiting Customer</t>
  </si>
  <si>
    <t>Waiting Supplier</t>
  </si>
  <si>
    <t>Waiting Internal</t>
  </si>
  <si>
    <t>Closed</t>
  </si>
  <si>
    <t>Phase</t>
  </si>
  <si>
    <t>RFQ Preparation</t>
  </si>
  <si>
    <t>Supplier Quotation</t>
  </si>
  <si>
    <t>Customer Review</t>
  </si>
  <si>
    <t>Manufacturing</t>
  </si>
  <si>
    <t>Inspection</t>
  </si>
  <si>
    <t>Shipping</t>
  </si>
  <si>
    <t>Category</t>
  </si>
  <si>
    <t>Material</t>
  </si>
  <si>
    <t>Tolerance</t>
  </si>
  <si>
    <t>Surface Finish</t>
  </si>
  <si>
    <t>Drawing</t>
  </si>
  <si>
    <t>Quality</t>
  </si>
  <si>
    <t>Packaging</t>
  </si>
  <si>
    <t>Logistics</t>
  </si>
  <si>
    <t>Commercial</t>
  </si>
  <si>
    <t>Technology</t>
  </si>
  <si>
    <t>Sheet Metal</t>
  </si>
  <si>
    <t>CNC Machining</t>
  </si>
  <si>
    <t>Injection Molding</t>
  </si>
  <si>
    <t>Casting</t>
  </si>
  <si>
    <t>Welding</t>
  </si>
  <si>
    <t>Assembly</t>
  </si>
  <si>
    <t>Finishing</t>
  </si>
  <si>
    <t>Impact</t>
  </si>
  <si>
    <t>Cost</t>
  </si>
  <si>
    <t>Lead Time</t>
  </si>
  <si>
    <t>Function</t>
  </si>
  <si>
    <t>Documentation</t>
  </si>
  <si>
    <t>Schedule</t>
  </si>
  <si>
    <t>ID</t>
  </si>
  <si>
    <t>Date Opened</t>
  </si>
  <si>
    <t>Last Updated</t>
  </si>
  <si>
    <t>Customer</t>
  </si>
  <si>
    <t>Supplier</t>
  </si>
  <si>
    <t>Part Number</t>
  </si>
  <si>
    <t>Part Description</t>
  </si>
  <si>
    <t>Rev</t>
  </si>
  <si>
    <t>Due Date</t>
  </si>
  <si>
    <t>Picture</t>
  </si>
  <si>
    <t>Drawing Link</t>
  </si>
  <si>
    <t>Comments</t>
  </si>
  <si>
    <t>Date Closed</t>
  </si>
  <si>
    <t>Drawing No.</t>
  </si>
  <si>
    <t>Reference</t>
  </si>
  <si>
    <t>Discussion Logs</t>
  </si>
  <si>
    <t>Resolved</t>
  </si>
  <si>
    <t>Current Owner</t>
  </si>
  <si>
    <t>Project Health</t>
  </si>
  <si>
    <t>Customer:</t>
  </si>
  <si>
    <t>Current Phase:</t>
  </si>
  <si>
    <t>Target Delivery:</t>
  </si>
  <si>
    <t>Project Manager:</t>
  </si>
  <si>
    <t>Project Name:</t>
  </si>
  <si>
    <t>RFQ Phase:</t>
  </si>
  <si>
    <t>Main Contact:</t>
  </si>
  <si>
    <t>Customer PO:</t>
  </si>
  <si>
    <t>Internal Project No.</t>
  </si>
  <si>
    <t>Target RFQ Value:</t>
  </si>
  <si>
    <t>Action ID</t>
  </si>
  <si>
    <t>Action</t>
  </si>
  <si>
    <t>Owner</t>
  </si>
  <si>
    <t>Completion Date</t>
  </si>
  <si>
    <t>Related Discussion ID</t>
  </si>
  <si>
    <t>Action Status</t>
  </si>
  <si>
    <t>Completed</t>
  </si>
  <si>
    <t>Cancelled</t>
  </si>
  <si>
    <t>Meeting ID</t>
  </si>
  <si>
    <t>Meeting Date</t>
  </si>
  <si>
    <t>Meeting Type</t>
  </si>
  <si>
    <t>Participants</t>
  </si>
  <si>
    <t>Summary</t>
  </si>
  <si>
    <t>Internal</t>
  </si>
  <si>
    <t>Teams Call</t>
  </si>
  <si>
    <t>Phone Call</t>
  </si>
  <si>
    <t>Severity</t>
  </si>
  <si>
    <t>RFQ Submitted</t>
  </si>
  <si>
    <t>On Hold</t>
  </si>
  <si>
    <t>Supplier Capability</t>
  </si>
  <si>
    <t>Other</t>
  </si>
  <si>
    <t>Extrusion</t>
  </si>
  <si>
    <t>Surface Treatment</t>
  </si>
  <si>
    <t>Site Visit</t>
  </si>
  <si>
    <t>Weekly</t>
  </si>
  <si>
    <t>Dashboard Calculations</t>
  </si>
  <si>
    <t>Open Issues</t>
  </si>
  <si>
    <t>Open Actions</t>
  </si>
  <si>
    <t>Days to Delivery</t>
  </si>
  <si>
    <t>Last Meeting</t>
  </si>
  <si>
    <t>Issue</t>
  </si>
  <si>
    <t>Due</t>
  </si>
  <si>
    <t>OPEN ACTIONS</t>
  </si>
  <si>
    <t xml:space="preserve">Action </t>
  </si>
  <si>
    <t>Description</t>
  </si>
  <si>
    <t>Responsible</t>
  </si>
  <si>
    <t>Overdue Items</t>
  </si>
  <si>
    <r>
      <t xml:space="preserve">PROJECT MANAGEMENT
</t>
    </r>
    <r>
      <rPr>
        <b/>
        <sz val="26"/>
        <color theme="0"/>
        <rFont val="Aptos"/>
        <family val="2"/>
      </rPr>
      <t>Technical Project Management</t>
    </r>
  </si>
  <si>
    <t>Project Status:</t>
  </si>
  <si>
    <t>Project Description:</t>
  </si>
  <si>
    <t>RFQ Submission Date:</t>
  </si>
  <si>
    <t>Last Update</t>
  </si>
  <si>
    <t>Count</t>
  </si>
  <si>
    <t>OPEN ISSUE SUMMARY</t>
  </si>
  <si>
    <t>BY CATEGORY</t>
  </si>
  <si>
    <t>OPEN ISSUES (Detailed)</t>
  </si>
  <si>
    <t>Meeting Reference</t>
  </si>
  <si>
    <t>D-001</t>
  </si>
  <si>
    <t>M-001</t>
  </si>
  <si>
    <t>D-002</t>
  </si>
  <si>
    <t>D-003</t>
  </si>
  <si>
    <t>D-004</t>
  </si>
  <si>
    <t>D-005</t>
  </si>
  <si>
    <t>D-006</t>
  </si>
  <si>
    <t>D-007</t>
  </si>
  <si>
    <t>D-008</t>
  </si>
  <si>
    <t>D-009</t>
  </si>
  <si>
    <t>D-010</t>
  </si>
  <si>
    <t>D-011</t>
  </si>
  <si>
    <t>A-001</t>
  </si>
  <si>
    <t>A-002</t>
  </si>
  <si>
    <t>A-003</t>
  </si>
  <si>
    <t>A-004</t>
  </si>
  <si>
    <t>A-005</t>
  </si>
  <si>
    <t>A-006</t>
  </si>
  <si>
    <t>A-007</t>
  </si>
  <si>
    <t>A-008</t>
  </si>
  <si>
    <t>A-009</t>
  </si>
  <si>
    <t>A-010</t>
  </si>
  <si>
    <t>A-011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</si>
</sst>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10000]d/m/yy;@"/>
    <numFmt numFmtId="165" formatCode="[$-1010409]d\ mmm\ yy;@"/>
    <numFmt numFmtId="166" formatCode="dd\-mmm;;"/>
    <numFmt numFmtId="167" formatCode=";;;"/>
    <numFmt numFmtId="168" formatCode="[$-1010409]d\ mmmm\ yyyy;@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0"/>
      <name val="Aptos"/>
      <family val="2"/>
    </font>
    <font>
      <b/>
      <sz val="26"/>
      <color theme="0"/>
      <name val="Aptos"/>
      <family val="2"/>
    </font>
    <font>
      <b/>
      <sz val="11"/>
      <color theme="1"/>
      <name val="Aptos"/>
      <family val="2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0"/>
      <name val="Aptos"/>
      <family val="2"/>
    </font>
    <font>
      <b/>
      <sz val="36"/>
      <color theme="0"/>
      <name val="Aptos"/>
      <family val="2"/>
    </font>
    <font>
      <b/>
      <sz val="20"/>
      <color theme="0"/>
      <name val="Aptos"/>
      <family val="2"/>
    </font>
    <font>
      <b/>
      <sz val="24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1"/>
      <name val="Aptos"/>
      <family val="2"/>
    </font>
    <font>
      <b/>
      <sz val="20"/>
      <color theme="8" tint="-0.499984740745262"/>
      <name val="Aptos"/>
      <family val="2"/>
    </font>
    <font>
      <b/>
      <sz val="26"/>
      <color theme="8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indexed="64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0" fillId="2" borderId="1" xfId="0" applyFill="1" applyBorder="1"/>
    <xf numFmtId="0" fontId="4" fillId="0" borderId="0" xfId="0" applyFont="1"/>
    <xf numFmtId="0" fontId="5" fillId="3" borderId="0" xfId="0" applyFont="1" applyFill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Continuous" vertical="center"/>
    </xf>
    <xf numFmtId="0" fontId="0" fillId="3" borderId="0" xfId="0" applyFill="1" applyAlignment="1">
      <alignment horizontal="centerContinuous"/>
    </xf>
    <xf numFmtId="0" fontId="0" fillId="2" borderId="0" xfId="0" applyFill="1"/>
    <xf numFmtId="164" fontId="0" fillId="0" borderId="0" xfId="0" applyNumberFormat="1"/>
    <xf numFmtId="165" fontId="0" fillId="0" borderId="1" xfId="0" applyNumberFormat="1" applyBorder="1"/>
    <xf numFmtId="0" fontId="0" fillId="2" borderId="0" xfId="0" applyFill="1" applyAlignment="1">
      <alignment vertical="center"/>
    </xf>
    <xf numFmtId="165" fontId="0" fillId="0" borderId="0" xfId="0" applyNumberFormat="1"/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165" fontId="0" fillId="0" borderId="0" xfId="0" applyNumberFormat="1" applyAlignment="1">
      <alignment wrapText="1"/>
    </xf>
    <xf numFmtId="0" fontId="5" fillId="3" borderId="3" xfId="0" applyFont="1" applyFill="1" applyBorder="1"/>
    <xf numFmtId="0" fontId="8" fillId="2" borderId="0" xfId="0" applyFont="1" applyFill="1" applyAlignment="1">
      <alignment vertical="center"/>
    </xf>
    <xf numFmtId="167" fontId="0" fillId="2" borderId="0" xfId="0" applyNumberForma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8" fontId="15" fillId="0" borderId="0" xfId="0" applyNumberFormat="1" applyFont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0" fillId="0" borderId="1" xfId="0" applyBorder="1"/>
    <xf numFmtId="0" fontId="0" fillId="2" borderId="13" xfId="0" applyFill="1" applyBorder="1"/>
    <xf numFmtId="0" fontId="17" fillId="4" borderId="1" xfId="0" applyFont="1" applyFill="1" applyBorder="1" applyAlignment="1">
      <alignment horizontal="center" vertical="center"/>
    </xf>
    <xf numFmtId="0" fontId="0" fillId="2" borderId="11" xfId="0" applyFill="1" applyBorder="1"/>
    <xf numFmtId="0" fontId="0" fillId="2" borderId="14" xfId="0" applyFill="1" applyBorder="1"/>
    <xf numFmtId="0" fontId="16" fillId="2" borderId="13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 wrapText="1"/>
    </xf>
    <xf numFmtId="0" fontId="0" fillId="2" borderId="0" xfId="0" applyFill="1" applyAlignment="1">
      <alignment horizontal="centerContinuous"/>
    </xf>
    <xf numFmtId="0" fontId="10" fillId="2" borderId="0" xfId="0" applyFont="1" applyFill="1" applyAlignment="1">
      <alignment vertical="center" wrapText="1"/>
    </xf>
    <xf numFmtId="0" fontId="10" fillId="3" borderId="0" xfId="0" applyFont="1" applyFill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18" fillId="0" borderId="0" xfId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166" fontId="19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Border="1"/>
    <xf numFmtId="0" fontId="8" fillId="2" borderId="1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left" vertical="center"/>
    </xf>
    <xf numFmtId="0" fontId="16" fillId="2" borderId="10" xfId="0" applyFont="1" applyFill="1" applyBorder="1" applyAlignment="1">
      <alignment horizontal="center" vertical="center"/>
    </xf>
    <xf numFmtId="166" fontId="19" fillId="2" borderId="0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 wrapText="1"/>
    </xf>
    <xf numFmtId="166" fontId="19" fillId="2" borderId="0" xfId="0" applyNumberFormat="1" applyFont="1" applyFill="1" applyBorder="1"/>
    <xf numFmtId="0" fontId="19" fillId="2" borderId="0" xfId="0" applyFont="1" applyFill="1" applyBorder="1"/>
    <xf numFmtId="165" fontId="19" fillId="2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Continuous" vertical="center" wrapText="1"/>
    </xf>
    <xf numFmtId="0" fontId="0" fillId="2" borderId="0" xfId="0" applyFill="1" applyAlignment="1">
      <alignment wrapText="1"/>
    </xf>
    <xf numFmtId="0" fontId="9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35">
    <dxf>
      <fill>
        <patternFill>
          <bgColor rgb="FF00B050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5" tint="-0.24994659260841701"/>
      </font>
      <fill>
        <patternFill>
          <bgColor rgb="FFFFC000"/>
        </patternFill>
      </fill>
    </dxf>
    <dxf>
      <font>
        <color rgb="FFBE8342"/>
      </font>
      <fill>
        <patternFill>
          <bgColor rgb="FFFFFF00"/>
        </patternFill>
      </fill>
    </dxf>
    <dxf>
      <font>
        <color rgb="FF7030A0"/>
      </font>
      <fill>
        <patternFill>
          <bgColor rgb="FFFF00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C00000"/>
      </font>
      <fill>
        <patternFill>
          <bgColor rgb="FFFF7C80"/>
        </patternFill>
      </fill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00B050"/>
      <color rgb="FFFFC000"/>
      <color rgb="FFC00000"/>
      <color rgb="FFFFDB69"/>
      <color rgb="FF85FFBC"/>
      <color rgb="FFC1FFDD"/>
      <color rgb="FFFF9F9F"/>
      <color rgb="FFFF7C80"/>
      <color rgb="FFFF00FF"/>
      <color rgb="FFBE83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L" sz="3200" b="0" i="0" u="none" strike="noStrike" baseline="0"/>
              <a:t>Issues by Priority</a:t>
            </a:r>
            <a:endParaRPr lang="en-IL" sz="3200"/>
          </a:p>
        </c:rich>
      </c:tx>
      <c:layout>
        <c:manualLayout>
          <c:xMode val="edge"/>
          <c:yMode val="edge"/>
          <c:x val="0.33293881477198467"/>
          <c:y val="1.65794901697983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9F9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FE-4AEC-A70F-F8E6ACAA6918}"/>
              </c:ext>
            </c:extLst>
          </c:dPt>
          <c:dPt>
            <c:idx val="1"/>
            <c:bubble3D val="0"/>
            <c:spPr>
              <a:solidFill>
                <a:srgbClr val="FFDB6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FE-4AEC-A70F-F8E6ACAA6918}"/>
              </c:ext>
            </c:extLst>
          </c:dPt>
          <c:dPt>
            <c:idx val="2"/>
            <c:bubble3D val="0"/>
            <c:spPr>
              <a:solidFill>
                <a:srgbClr val="85FFB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7FE-4AEC-A70F-F8E6ACAA69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System!$V$2:$V$4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System!$W$2:$W$4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FE-4AEC-A70F-F8E6ACAA691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419655794086162"/>
          <c:y val="0.36400679473832731"/>
          <c:w val="0.21467798368149302"/>
          <c:h val="0.403501967262323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505462</xdr:colOff>
      <xdr:row>0</xdr:row>
      <xdr:rowOff>0</xdr:rowOff>
    </xdr:from>
    <xdr:to>
      <xdr:col>2</xdr:col>
      <xdr:colOff>325836</xdr:colOff>
      <xdr:row>3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54DEBE-8E98-CCF9-FE73-1EAD6D322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462" y="0"/>
          <a:ext cx="3779373" cy="1714500"/>
        </a:xfrm>
        <a:prstGeom prst="rect">
          <a:avLst/>
        </a:prstGeom>
      </xdr:spPr>
    </xdr:pic>
    <xdr:clientData/>
  </xdr:twoCellAnchor>
  <xdr:oneCellAnchor>
    <xdr:from>
      <xdr:col>3</xdr:col>
      <xdr:colOff>718705</xdr:colOff>
      <xdr:row>6</xdr:row>
      <xdr:rowOff>112569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86EEB33-F591-D6AA-005F-D027024C8394}"/>
            </a:ext>
          </a:extLst>
        </xdr:cNvPr>
        <xdr:cNvSpPr txBox="1"/>
      </xdr:nvSpPr>
      <xdr:spPr>
        <a:xfrm>
          <a:off x="3420341" y="193097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L" sz="2400"/>
        </a:p>
      </xdr:txBody>
    </xdr:sp>
    <xdr:clientData/>
  </xdr:oneCellAnchor>
  <xdr:twoCellAnchor>
    <xdr:from>
      <xdr:col>2</xdr:col>
      <xdr:colOff>2621414</xdr:colOff>
      <xdr:row>22</xdr:row>
      <xdr:rowOff>266700</xdr:rowOff>
    </xdr:from>
    <xdr:to>
      <xdr:col>5</xdr:col>
      <xdr:colOff>2925535</xdr:colOff>
      <xdr:row>35</xdr:row>
      <xdr:rowOff>192539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3CB3B07-6BA2-E60C-E669-1D1FBF61F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1058261</xdr:colOff>
      <xdr:row>14</xdr:row>
      <xdr:rowOff>9523</xdr:rowOff>
    </xdr:from>
    <xdr:to>
      <xdr:col>3</xdr:col>
      <xdr:colOff>4828118</xdr:colOff>
      <xdr:row>20</xdr:row>
      <xdr:rowOff>10746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9ADD08F4-E7B0-6E36-1928-104C9494E46A}"/>
            </a:ext>
          </a:extLst>
        </xdr:cNvPr>
        <xdr:cNvGrpSpPr/>
      </xdr:nvGrpSpPr>
      <xdr:grpSpPr>
        <a:xfrm>
          <a:off x="5004332" y="5044166"/>
          <a:ext cx="6423252" cy="2409689"/>
          <a:chOff x="303066" y="2102983"/>
          <a:chExt cx="7137082" cy="3200400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DAA51BA3-849D-4CCF-950A-C4D450AC7582}"/>
              </a:ext>
            </a:extLst>
          </xdr:cNvPr>
          <xdr:cNvSpPr/>
        </xdr:nvSpPr>
        <xdr:spPr>
          <a:xfrm>
            <a:off x="303066" y="2102983"/>
            <a:ext cx="7137082" cy="3200400"/>
          </a:xfrm>
          <a:prstGeom prst="rect">
            <a:avLst/>
          </a:prstGeom>
          <a:solidFill>
            <a:srgbClr val="FDFDFD"/>
          </a:solidFill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3600" b="0" i="0" u="none" strike="noStrike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Open</a:t>
            </a:r>
            <a:r>
              <a:rPr lang="en-US" sz="3600" b="0" i="0" u="none" strike="noStrike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 Issues</a:t>
            </a:r>
          </a:p>
        </xdr:txBody>
      </xdr:sp>
      <xdr:sp macro="" textlink="System!B2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1161C91A-D32C-9FFF-381C-11807FAD71DE}"/>
              </a:ext>
            </a:extLst>
          </xdr:cNvPr>
          <xdr:cNvSpPr/>
        </xdr:nvSpPr>
        <xdr:spPr>
          <a:xfrm>
            <a:off x="2825753" y="3679329"/>
            <a:ext cx="1906732" cy="949778"/>
          </a:xfrm>
          <a:prstGeom prst="roundRect">
            <a:avLst/>
          </a:prstGeom>
          <a:solidFill>
            <a:srgbClr val="FDFDF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307D2C18-432F-4F28-AEB5-D86765FF2EB1}" type="TxLink">
              <a:rPr lang="en-US" sz="6600" b="0" i="0" u="none" strike="noStrike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pPr marL="0" indent="0" algn="ctr"/>
              <a:t>0</a:t>
            </a:fld>
            <a:endParaRPr lang="en-US" sz="6600" b="0" i="0" u="none" strike="noStrike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3</xdr:col>
      <xdr:colOff>6096154</xdr:colOff>
      <xdr:row>14</xdr:row>
      <xdr:rowOff>8028</xdr:rowOff>
    </xdr:from>
    <xdr:to>
      <xdr:col>5</xdr:col>
      <xdr:colOff>3323017</xdr:colOff>
      <xdr:row>20</xdr:row>
      <xdr:rowOff>10746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B82FB4C-0F87-48AC-8F3C-CB5FD95BBE98}"/>
            </a:ext>
          </a:extLst>
        </xdr:cNvPr>
        <xdr:cNvGrpSpPr/>
      </xdr:nvGrpSpPr>
      <xdr:grpSpPr>
        <a:xfrm>
          <a:off x="12695620" y="5042671"/>
          <a:ext cx="6384468" cy="2411184"/>
          <a:chOff x="7888897" y="2103662"/>
          <a:chExt cx="7255854" cy="3200400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D69DDBA7-B014-4248-9AE5-E9116C9D3546}"/>
              </a:ext>
            </a:extLst>
          </xdr:cNvPr>
          <xdr:cNvSpPr/>
        </xdr:nvSpPr>
        <xdr:spPr>
          <a:xfrm>
            <a:off x="7888897" y="2103662"/>
            <a:ext cx="7255854" cy="3200400"/>
          </a:xfrm>
          <a:prstGeom prst="rect">
            <a:avLst/>
          </a:prstGeom>
          <a:solidFill>
            <a:srgbClr val="FDFDFD"/>
          </a:solidFill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3600" b="0" i="0" u="none" strike="noStrike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Open Actions</a:t>
            </a:r>
          </a:p>
        </xdr:txBody>
      </xdr:sp>
      <xdr:sp macro="" textlink="System!B3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100B50D3-5DEC-4D1B-A24F-D9D448281F74}"/>
              </a:ext>
            </a:extLst>
          </xdr:cNvPr>
          <xdr:cNvSpPr/>
        </xdr:nvSpPr>
        <xdr:spPr>
          <a:xfrm>
            <a:off x="10549639" y="3675056"/>
            <a:ext cx="2007490" cy="954539"/>
          </a:xfrm>
          <a:prstGeom prst="roundRect">
            <a:avLst/>
          </a:prstGeom>
          <a:solidFill>
            <a:srgbClr val="FDFDF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05797124-77F4-4739-998F-67065209D245}" type="TxLink">
              <a:rPr lang="en-US" sz="6600" b="0" i="0" u="none" strike="noStrike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pPr marL="0" indent="0" algn="ctr"/>
              <a:t>0</a:t>
            </a:fld>
            <a:endParaRPr lang="en-US" sz="6600" b="0" i="0" u="none" strike="noStrike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6</xdr:col>
      <xdr:colOff>874334</xdr:colOff>
      <xdr:row>14</xdr:row>
      <xdr:rowOff>8026</xdr:rowOff>
    </xdr:from>
    <xdr:to>
      <xdr:col>8</xdr:col>
      <xdr:colOff>2752798</xdr:colOff>
      <xdr:row>20</xdr:row>
      <xdr:rowOff>10746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F693419-4FFA-E68E-BF5B-619368EE72A2}"/>
            </a:ext>
          </a:extLst>
        </xdr:cNvPr>
        <xdr:cNvGrpSpPr/>
      </xdr:nvGrpSpPr>
      <xdr:grpSpPr>
        <a:xfrm>
          <a:off x="20128443" y="5042669"/>
          <a:ext cx="6409641" cy="2411186"/>
          <a:chOff x="15540794" y="2085289"/>
          <a:chExt cx="7046988" cy="3200400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F31FECD8-4663-4189-983C-E24CB1864CF9}"/>
              </a:ext>
            </a:extLst>
          </xdr:cNvPr>
          <xdr:cNvSpPr/>
        </xdr:nvSpPr>
        <xdr:spPr>
          <a:xfrm>
            <a:off x="15540794" y="2085289"/>
            <a:ext cx="7046988" cy="3200400"/>
          </a:xfrm>
          <a:prstGeom prst="rect">
            <a:avLst/>
          </a:prstGeom>
          <a:solidFill>
            <a:srgbClr val="FDFDFD"/>
          </a:solidFill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3600" b="0" i="0" u="none" strike="noStrike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Last Meeting</a:t>
            </a:r>
          </a:p>
        </xdr:txBody>
      </xdr:sp>
      <xdr:sp macro="" textlink="System!B4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A723EF03-8483-2346-76B1-FE7FDF298F2F}"/>
              </a:ext>
            </a:extLst>
          </xdr:cNvPr>
          <xdr:cNvSpPr/>
        </xdr:nvSpPr>
        <xdr:spPr>
          <a:xfrm>
            <a:off x="16011922" y="3749538"/>
            <a:ext cx="6104733" cy="950460"/>
          </a:xfrm>
          <a:prstGeom prst="roundRect">
            <a:avLst/>
          </a:prstGeom>
          <a:solidFill>
            <a:srgbClr val="FDFDF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1AFF40C0-45F2-4DEF-B35B-229232C55EC9}" type="TxLink">
              <a:rPr lang="en-US" sz="6600" b="0" i="0" u="none" strike="noStrike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pPr marL="0" indent="0" algn="ctr"/>
              <a:t> </a:t>
            </a:fld>
            <a:endParaRPr lang="en-US" sz="6600" b="0" i="0" u="none" strike="noStrike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9</xdr:col>
      <xdr:colOff>885974</xdr:colOff>
      <xdr:row>14</xdr:row>
      <xdr:rowOff>9523</xdr:rowOff>
    </xdr:from>
    <xdr:to>
      <xdr:col>9</xdr:col>
      <xdr:colOff>7341882</xdr:colOff>
      <xdr:row>20</xdr:row>
      <xdr:rowOff>10746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946A4A2C-12B5-E5F2-4CD2-BEC951FE9276}"/>
            </a:ext>
          </a:extLst>
        </xdr:cNvPr>
        <xdr:cNvGrpSpPr/>
      </xdr:nvGrpSpPr>
      <xdr:grpSpPr>
        <a:xfrm>
          <a:off x="27596797" y="5044166"/>
          <a:ext cx="6455908" cy="2409689"/>
          <a:chOff x="23055417" y="2102980"/>
          <a:chExt cx="6695920" cy="3209924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CCA1C1E8-83C7-4833-84F2-51F41BFD226A}"/>
              </a:ext>
            </a:extLst>
          </xdr:cNvPr>
          <xdr:cNvSpPr/>
        </xdr:nvSpPr>
        <xdr:spPr>
          <a:xfrm>
            <a:off x="23055417" y="2102980"/>
            <a:ext cx="6695920" cy="3209924"/>
          </a:xfrm>
          <a:prstGeom prst="rect">
            <a:avLst/>
          </a:prstGeom>
          <a:solidFill>
            <a:srgbClr val="FDFDFD"/>
          </a:solidFill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3600" b="0" i="0" u="none" strike="noStrike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Days to Delivery</a:t>
            </a:r>
          </a:p>
        </xdr:txBody>
      </xdr:sp>
      <xdr:sp macro="" textlink="System!B5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09176753-F551-435C-8B4C-221270FC341C}"/>
              </a:ext>
            </a:extLst>
          </xdr:cNvPr>
          <xdr:cNvSpPr/>
        </xdr:nvSpPr>
        <xdr:spPr>
          <a:xfrm>
            <a:off x="25450075" y="3671877"/>
            <a:ext cx="1906605" cy="964745"/>
          </a:xfrm>
          <a:prstGeom prst="roundRect">
            <a:avLst/>
          </a:prstGeom>
          <a:solidFill>
            <a:srgbClr val="FDFDF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DE9A59BB-EE02-4FE5-B84E-E56B50DA7F42}" type="TxLink">
              <a:rPr lang="en-US" sz="6600" b="0" i="0" u="none" strike="noStrike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pPr marL="0" indent="0" algn="ctr"/>
              <a:t> </a:t>
            </a:fld>
            <a:endParaRPr lang="en-US" sz="6600" b="0" i="0" u="none" strike="noStrike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11</xdr:col>
      <xdr:colOff>346363</xdr:colOff>
      <xdr:row>6</xdr:row>
      <xdr:rowOff>34637</xdr:rowOff>
    </xdr:from>
    <xdr:to>
      <xdr:col>11</xdr:col>
      <xdr:colOff>346363</xdr:colOff>
      <xdr:row>6</xdr:row>
      <xdr:rowOff>34637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05AC046-5DD6-C4A4-C3DB-ED984D4F2B03}"/>
            </a:ext>
          </a:extLst>
        </xdr:cNvPr>
        <xdr:cNvCxnSpPr>
          <a:cxnSpLocks/>
        </xdr:cNvCxnSpPr>
      </xdr:nvCxnSpPr>
      <xdr:spPr>
        <a:xfrm>
          <a:off x="31735568" y="2060864"/>
          <a:ext cx="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618785</xdr:colOff>
      <xdr:row>8</xdr:row>
      <xdr:rowOff>238126</xdr:rowOff>
    </xdr:from>
    <xdr:to>
      <xdr:col>3</xdr:col>
      <xdr:colOff>5314944</xdr:colOff>
      <xdr:row>8</xdr:row>
      <xdr:rowOff>238126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CD748D0-F781-EE43-C2F1-999961C53274}"/>
            </a:ext>
          </a:extLst>
        </xdr:cNvPr>
        <xdr:cNvCxnSpPr>
          <a:stCxn id="25" idx="3"/>
          <a:endCxn id="25" idx="1"/>
        </xdr:cNvCxnSpPr>
      </xdr:nvCxnSpPr>
      <xdr:spPr>
        <a:xfrm flipH="1">
          <a:off x="4549209" y="3433764"/>
          <a:ext cx="7308054" cy="0"/>
        </a:xfrm>
        <a:prstGeom prst="line">
          <a:avLst/>
        </a:prstGeom>
        <a:ln w="76200"/>
        <a:effectLst>
          <a:outerShdw blurRad="50800" dist="38100" dir="5400000" algn="t" rotWithShape="0">
            <a:prstClr val="black">
              <a:alpha val="40000"/>
            </a:prstClr>
          </a:outerShdw>
          <a:softEdge rad="31750"/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618782</xdr:colOff>
      <xdr:row>5</xdr:row>
      <xdr:rowOff>16670</xdr:rowOff>
    </xdr:from>
    <xdr:to>
      <xdr:col>3</xdr:col>
      <xdr:colOff>5314944</xdr:colOff>
      <xdr:row>13</xdr:row>
      <xdr:rowOff>7825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4D005B55-BBA4-0B35-430B-961CEA705349}"/>
            </a:ext>
          </a:extLst>
        </xdr:cNvPr>
        <xdr:cNvGrpSpPr/>
      </xdr:nvGrpSpPr>
      <xdr:grpSpPr>
        <a:xfrm>
          <a:off x="4564853" y="2030527"/>
          <a:ext cx="7349557" cy="2712584"/>
          <a:chOff x="3789589" y="2013858"/>
          <a:chExt cx="7218591" cy="2748643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21281B06-52DA-C126-6B2E-2BE6C8EA3232}"/>
              </a:ext>
            </a:extLst>
          </xdr:cNvPr>
          <xdr:cNvSpPr/>
        </xdr:nvSpPr>
        <xdr:spPr>
          <a:xfrm>
            <a:off x="3789592" y="2013858"/>
            <a:ext cx="7218588" cy="27486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L" sz="1100"/>
          </a:p>
        </xdr:txBody>
      </xdr:sp>
      <xdr:sp macro="" textlink="'Project Info'!B2">
        <xdr:nvSpPr>
          <xdr:cNvPr id="26" name="Rectangle 25">
            <a:extLst>
              <a:ext uri="{FF2B5EF4-FFF2-40B4-BE49-F238E27FC236}">
                <a16:creationId xmlns:a16="http://schemas.microsoft.com/office/drawing/2014/main" id="{0A7D50BF-9933-80D3-E4D5-4CFC2BC4FBF0}"/>
              </a:ext>
            </a:extLst>
          </xdr:cNvPr>
          <xdr:cNvSpPr/>
        </xdr:nvSpPr>
        <xdr:spPr>
          <a:xfrm>
            <a:off x="6253754" y="2282602"/>
            <a:ext cx="4754426" cy="75962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3FCBD3A7-32D3-477F-B5EE-B6DC21AA4BD9}" type="TxLink">
              <a:rPr lang="en-US" sz="2400" b="1">
                <a:solidFill>
                  <a:schemeClr val="accent5"/>
                </a:solidFill>
                <a:latin typeface="+mn-lt"/>
                <a:ea typeface="+mn-ea"/>
                <a:cs typeface="+mn-cs"/>
              </a:rPr>
              <a:pPr marL="0" indent="0" algn="ctr"/>
              <a:t> </a:t>
            </a:fld>
            <a:endParaRPr lang="en-IL" sz="2400" b="1">
              <a:solidFill>
                <a:schemeClr val="accent5"/>
              </a:solidFill>
              <a:latin typeface="+mn-lt"/>
              <a:ea typeface="+mn-ea"/>
              <a:cs typeface="+mn-cs"/>
            </a:endParaRPr>
          </a:p>
        </xdr:txBody>
      </xdr:sp>
      <xdr:sp macro="" textlink="'Project Info'!B12">
        <xdr:nvSpPr>
          <xdr:cNvPr id="27" name="Rectangle 26">
            <a:extLst>
              <a:ext uri="{FF2B5EF4-FFF2-40B4-BE49-F238E27FC236}">
                <a16:creationId xmlns:a16="http://schemas.microsoft.com/office/drawing/2014/main" id="{C5BCB258-77EE-4C9C-9717-6D1287314FAA}"/>
              </a:ext>
            </a:extLst>
          </xdr:cNvPr>
          <xdr:cNvSpPr/>
        </xdr:nvSpPr>
        <xdr:spPr>
          <a:xfrm>
            <a:off x="6253754" y="3682476"/>
            <a:ext cx="4754426" cy="77386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9B3384CE-20B8-4708-99CD-ECF85DE2A54A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 algn="ctr"/>
              <a:t> </a:t>
            </a:fld>
            <a:endParaRPr lang="en-IL" sz="2400">
              <a:solidFill>
                <a:schemeClr val="accent5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210C0F39-752F-4918-8EFF-0DC60FE50957}"/>
              </a:ext>
            </a:extLst>
          </xdr:cNvPr>
          <xdr:cNvSpPr/>
        </xdr:nvSpPr>
        <xdr:spPr>
          <a:xfrm>
            <a:off x="3789589" y="2282602"/>
            <a:ext cx="2288189" cy="75962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 b="1">
                <a:solidFill>
                  <a:schemeClr val="accent5"/>
                </a:solidFill>
              </a:rPr>
              <a:t>PROJECT NAME:</a:t>
            </a:r>
            <a:endParaRPr lang="en-IL" sz="2400" b="1">
              <a:solidFill>
                <a:schemeClr val="accent5"/>
              </a:solidFill>
            </a:endParaRP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B026F58-1940-4976-84F3-5F83971281C6}"/>
              </a:ext>
            </a:extLst>
          </xdr:cNvPr>
          <xdr:cNvSpPr/>
        </xdr:nvSpPr>
        <xdr:spPr>
          <a:xfrm>
            <a:off x="3789589" y="3680751"/>
            <a:ext cx="2288189" cy="7755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2400" b="1">
                <a:solidFill>
                  <a:schemeClr val="accent5"/>
                </a:solidFill>
                <a:latin typeface="+mn-lt"/>
                <a:ea typeface="+mn-ea"/>
                <a:cs typeface="+mn-cs"/>
              </a:rPr>
              <a:t>PROJECT CODE:</a:t>
            </a:r>
            <a:endParaRPr lang="en-IL" sz="2400" b="1">
              <a:solidFill>
                <a:schemeClr val="accent5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3</xdr:col>
      <xdr:colOff>6122346</xdr:colOff>
      <xdr:row>5</xdr:row>
      <xdr:rowOff>20579</xdr:rowOff>
    </xdr:from>
    <xdr:to>
      <xdr:col>6</xdr:col>
      <xdr:colOff>754330</xdr:colOff>
      <xdr:row>13</xdr:row>
      <xdr:rowOff>1529</xdr:rowOff>
    </xdr:to>
    <xdr:grpSp>
      <xdr:nvGrpSpPr>
        <xdr:cNvPr id="120" name="Group 119">
          <a:extLst>
            <a:ext uri="{FF2B5EF4-FFF2-40B4-BE49-F238E27FC236}">
              <a16:creationId xmlns:a16="http://schemas.microsoft.com/office/drawing/2014/main" id="{3E3261EA-ADD3-DEF1-369D-18203AD41D95}"/>
            </a:ext>
          </a:extLst>
        </xdr:cNvPr>
        <xdr:cNvGrpSpPr/>
      </xdr:nvGrpSpPr>
      <xdr:grpSpPr>
        <a:xfrm>
          <a:off x="12721812" y="2034436"/>
          <a:ext cx="7286627" cy="2702379"/>
          <a:chOff x="12273642" y="2001765"/>
          <a:chExt cx="7260772" cy="2721429"/>
        </a:xfrm>
      </xdr:grpSpPr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C3B63EC3-B129-4454-8F45-A375E1D51227}"/>
              </a:ext>
            </a:extLst>
          </xdr:cNvPr>
          <xdr:cNvSpPr/>
        </xdr:nvSpPr>
        <xdr:spPr>
          <a:xfrm>
            <a:off x="12273646" y="2001765"/>
            <a:ext cx="7260768" cy="27214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L" sz="1100"/>
          </a:p>
        </xdr:txBody>
      </xdr:sp>
      <xdr:sp macro="" textlink="'Project Info'!B3">
        <xdr:nvSpPr>
          <xdr:cNvPr id="69" name="Rectangle 68">
            <a:extLst>
              <a:ext uri="{FF2B5EF4-FFF2-40B4-BE49-F238E27FC236}">
                <a16:creationId xmlns:a16="http://schemas.microsoft.com/office/drawing/2014/main" id="{96CBA084-6724-46C1-BDF2-05182610FF53}"/>
              </a:ext>
            </a:extLst>
          </xdr:cNvPr>
          <xdr:cNvSpPr/>
        </xdr:nvSpPr>
        <xdr:spPr>
          <a:xfrm>
            <a:off x="14757966" y="2263704"/>
            <a:ext cx="4776448" cy="762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886B1DF5-B6C0-4BE4-BFA5-2DFA7C1DAEEC}" type="TxLink">
              <a:rPr lang="en-US" sz="2400" b="1">
                <a:solidFill>
                  <a:schemeClr val="accent5"/>
                </a:solidFill>
                <a:latin typeface="+mn-lt"/>
                <a:ea typeface="+mn-ea"/>
                <a:cs typeface="+mn-cs"/>
              </a:rPr>
              <a:pPr marL="0" indent="0" algn="ctr"/>
              <a:t> </a:t>
            </a:fld>
            <a:endParaRPr lang="en-IL" sz="2400" b="1">
              <a:solidFill>
                <a:schemeClr val="accent5"/>
              </a:solidFill>
              <a:latin typeface="+mn-lt"/>
              <a:ea typeface="+mn-ea"/>
              <a:cs typeface="+mn-cs"/>
            </a:endParaRPr>
          </a:p>
        </xdr:txBody>
      </xdr:sp>
      <xdr:sp macro="" textlink="'Project Info'!B6">
        <xdr:nvSpPr>
          <xdr:cNvPr id="70" name="Rectangle 69">
            <a:extLst>
              <a:ext uri="{FF2B5EF4-FFF2-40B4-BE49-F238E27FC236}">
                <a16:creationId xmlns:a16="http://schemas.microsoft.com/office/drawing/2014/main" id="{E077A9CA-D8C0-4C82-84DD-F149AD41D79C}"/>
              </a:ext>
            </a:extLst>
          </xdr:cNvPr>
          <xdr:cNvSpPr/>
        </xdr:nvSpPr>
        <xdr:spPr>
          <a:xfrm>
            <a:off x="14757966" y="3672722"/>
            <a:ext cx="4776448" cy="7511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34AE4CF6-0C26-43A4-8BDB-40604334B3B3}" type="TxLink">
              <a:rPr lang="en-US" sz="2400" b="1">
                <a:solidFill>
                  <a:schemeClr val="accent5"/>
                </a:solidFill>
                <a:latin typeface="+mn-lt"/>
                <a:ea typeface="+mn-ea"/>
                <a:cs typeface="+mn-cs"/>
              </a:rPr>
              <a:pPr marL="0" indent="0" algn="ctr"/>
              <a:t> </a:t>
            </a:fld>
            <a:endParaRPr lang="en-IL" sz="2400" b="1">
              <a:solidFill>
                <a:schemeClr val="accent5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71" name="Straight Connector 70">
            <a:extLst>
              <a:ext uri="{FF2B5EF4-FFF2-40B4-BE49-F238E27FC236}">
                <a16:creationId xmlns:a16="http://schemas.microsoft.com/office/drawing/2014/main" id="{92D96868-96E9-405B-B919-170324A39BB6}"/>
              </a:ext>
            </a:extLst>
          </xdr:cNvPr>
          <xdr:cNvCxnSpPr>
            <a:stCxn id="68" idx="3"/>
            <a:endCxn id="68" idx="1"/>
          </xdr:cNvCxnSpPr>
        </xdr:nvCxnSpPr>
        <xdr:spPr>
          <a:xfrm flipH="1">
            <a:off x="12273646" y="3366192"/>
            <a:ext cx="7260768" cy="0"/>
          </a:xfrm>
          <a:prstGeom prst="line">
            <a:avLst/>
          </a:prstGeom>
          <a:ln w="76200">
            <a:solidFill>
              <a:schemeClr val="accent1"/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  <a:softEdge rad="31750"/>
          </a:effectLst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C4F97011-33AA-459F-85DF-4746B9FEE115}"/>
              </a:ext>
            </a:extLst>
          </xdr:cNvPr>
          <xdr:cNvSpPr/>
        </xdr:nvSpPr>
        <xdr:spPr>
          <a:xfrm>
            <a:off x="12273643" y="2263704"/>
            <a:ext cx="2302971" cy="762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2400" b="1">
                <a:solidFill>
                  <a:schemeClr val="accent5"/>
                </a:solidFill>
                <a:latin typeface="+mn-lt"/>
                <a:ea typeface="+mn-ea"/>
                <a:cs typeface="+mn-cs"/>
              </a:rPr>
              <a:t>CUSTOMER:</a:t>
            </a:r>
            <a:endParaRPr lang="en-IL" sz="2400" b="1">
              <a:solidFill>
                <a:schemeClr val="accent5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45DD6DE3-ACD4-4B4F-A0AC-FB22B81E30E7}"/>
              </a:ext>
            </a:extLst>
          </xdr:cNvPr>
          <xdr:cNvSpPr/>
        </xdr:nvSpPr>
        <xdr:spPr>
          <a:xfrm>
            <a:off x="12273642" y="3670991"/>
            <a:ext cx="2385807" cy="752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2400" b="1">
                <a:solidFill>
                  <a:schemeClr val="accent5"/>
                </a:solidFill>
                <a:latin typeface="+mn-lt"/>
                <a:ea typeface="+mn-ea"/>
                <a:cs typeface="+mn-cs"/>
              </a:rPr>
              <a:t>CURRENT PHASE:</a:t>
            </a:r>
            <a:endParaRPr lang="en-IL" sz="2400" b="1">
              <a:solidFill>
                <a:schemeClr val="accent5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7</xdr:col>
      <xdr:colOff>97040</xdr:colOff>
      <xdr:row>4</xdr:row>
      <xdr:rowOff>283939</xdr:rowOff>
    </xdr:from>
    <xdr:to>
      <xdr:col>9</xdr:col>
      <xdr:colOff>1580339</xdr:colOff>
      <xdr:row>12</xdr:row>
      <xdr:rowOff>295628</xdr:rowOff>
    </xdr:to>
    <xdr:grpSp>
      <xdr:nvGrpSpPr>
        <xdr:cNvPr id="121" name="Group 120">
          <a:extLst>
            <a:ext uri="{FF2B5EF4-FFF2-40B4-BE49-F238E27FC236}">
              <a16:creationId xmlns:a16="http://schemas.microsoft.com/office/drawing/2014/main" id="{AB75910C-AE3E-4A1D-F777-039778125459}"/>
            </a:ext>
          </a:extLst>
        </xdr:cNvPr>
        <xdr:cNvGrpSpPr/>
      </xdr:nvGrpSpPr>
      <xdr:grpSpPr>
        <a:xfrm>
          <a:off x="20943183" y="1998439"/>
          <a:ext cx="7347979" cy="2733118"/>
          <a:chOff x="20593608" y="2028265"/>
          <a:chExt cx="7241804" cy="2734235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790F33E5-6DD0-48D2-A8EB-24D51D2944CD}"/>
              </a:ext>
            </a:extLst>
          </xdr:cNvPr>
          <xdr:cNvCxnSpPr>
            <a:stCxn id="74" idx="3"/>
            <a:endCxn id="74" idx="1"/>
          </xdr:cNvCxnSpPr>
        </xdr:nvCxnSpPr>
        <xdr:spPr>
          <a:xfrm flipH="1">
            <a:off x="20593612" y="3409390"/>
            <a:ext cx="7241800" cy="0"/>
          </a:xfrm>
          <a:prstGeom prst="line">
            <a:avLst/>
          </a:prstGeom>
          <a:ln w="76200"/>
          <a:effectLst>
            <a:outerShdw blurRad="50800" dist="38100" dir="5400000" algn="t" rotWithShape="0">
              <a:prstClr val="black">
                <a:alpha val="40000"/>
              </a:prstClr>
            </a:outerShdw>
            <a:softEdge rad="31750"/>
          </a:effectLst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9A85B2CD-DCE3-48D2-BFB2-3DE2A1FD0C9B}"/>
              </a:ext>
            </a:extLst>
          </xdr:cNvPr>
          <xdr:cNvSpPr/>
        </xdr:nvSpPr>
        <xdr:spPr>
          <a:xfrm>
            <a:off x="20593612" y="2028265"/>
            <a:ext cx="7241800" cy="273423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endParaRPr lang="en-IL" sz="2400" b="1">
              <a:solidFill>
                <a:schemeClr val="accent5"/>
              </a:solidFill>
              <a:latin typeface="+mn-lt"/>
              <a:ea typeface="+mn-ea"/>
              <a:cs typeface="+mn-cs"/>
            </a:endParaRPr>
          </a:p>
        </xdr:txBody>
      </xdr:sp>
      <xdr:sp macro="" textlink="'Project Info'!B4">
        <xdr:nvSpPr>
          <xdr:cNvPr id="75" name="Rectangle 74">
            <a:extLst>
              <a:ext uri="{FF2B5EF4-FFF2-40B4-BE49-F238E27FC236}">
                <a16:creationId xmlns:a16="http://schemas.microsoft.com/office/drawing/2014/main" id="{2EE03BF3-DAD8-4BB2-8C97-5DC8C1030502}"/>
              </a:ext>
            </a:extLst>
          </xdr:cNvPr>
          <xdr:cNvSpPr/>
        </xdr:nvSpPr>
        <xdr:spPr>
          <a:xfrm>
            <a:off x="23438374" y="2303294"/>
            <a:ext cx="4397038" cy="75198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C7942991-B69A-4192-9E73-82A26BCAD672}" type="TxLink">
              <a:rPr lang="en-US" sz="2400" b="1">
                <a:solidFill>
                  <a:schemeClr val="accent5"/>
                </a:solidFill>
                <a:latin typeface="+mn-lt"/>
                <a:ea typeface="+mn-ea"/>
                <a:cs typeface="+mn-cs"/>
              </a:rPr>
              <a:pPr marL="0" indent="0" algn="ctr"/>
              <a:t> </a:t>
            </a:fld>
            <a:endParaRPr lang="en-IL" sz="2400" b="1">
              <a:solidFill>
                <a:schemeClr val="accent5"/>
              </a:solidFill>
              <a:latin typeface="+mn-lt"/>
              <a:ea typeface="+mn-ea"/>
              <a:cs typeface="+mn-cs"/>
            </a:endParaRPr>
          </a:p>
        </xdr:txBody>
      </xdr:sp>
      <xdr:sp macro="" textlink="'Project Info'!B9">
        <xdr:nvSpPr>
          <xdr:cNvPr id="76" name="Rectangle 75">
            <a:extLst>
              <a:ext uri="{FF2B5EF4-FFF2-40B4-BE49-F238E27FC236}">
                <a16:creationId xmlns:a16="http://schemas.microsoft.com/office/drawing/2014/main" id="{FACB5693-484F-4BBE-8DA8-7232F2E05D32}"/>
              </a:ext>
            </a:extLst>
          </xdr:cNvPr>
          <xdr:cNvSpPr/>
        </xdr:nvSpPr>
        <xdr:spPr>
          <a:xfrm>
            <a:off x="23256599" y="3702666"/>
            <a:ext cx="4578813" cy="7616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57D7C0A9-DA4F-421A-899A-09C1CBB42938}" type="TxLink">
              <a:rPr lang="en-US" sz="2400" b="1">
                <a:solidFill>
                  <a:schemeClr val="accent5"/>
                </a:solidFill>
                <a:latin typeface="+mn-lt"/>
                <a:ea typeface="+mn-ea"/>
                <a:cs typeface="+mn-cs"/>
              </a:rPr>
              <a:pPr marL="0" indent="0" algn="ctr"/>
              <a:t> </a:t>
            </a:fld>
            <a:endParaRPr lang="en-IL" sz="2400" b="1">
              <a:solidFill>
                <a:schemeClr val="accent5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40814BF6-23FA-4BF6-91F6-2A144F3B335E}"/>
              </a:ext>
            </a:extLst>
          </xdr:cNvPr>
          <xdr:cNvSpPr/>
        </xdr:nvSpPr>
        <xdr:spPr>
          <a:xfrm>
            <a:off x="20593608" y="2303294"/>
            <a:ext cx="2920522" cy="75198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2400" b="1">
                <a:solidFill>
                  <a:schemeClr val="accent5"/>
                </a:solidFill>
                <a:latin typeface="+mn-lt"/>
                <a:ea typeface="+mn-ea"/>
                <a:cs typeface="+mn-cs"/>
              </a:rPr>
              <a:t>PROJECT MANAGER:</a:t>
            </a:r>
            <a:endParaRPr lang="en-IL" sz="2400" b="1">
              <a:solidFill>
                <a:schemeClr val="accent5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573B94CC-7192-44BF-A77C-DE046D8823E2}"/>
              </a:ext>
            </a:extLst>
          </xdr:cNvPr>
          <xdr:cNvSpPr/>
        </xdr:nvSpPr>
        <xdr:spPr>
          <a:xfrm>
            <a:off x="20593608" y="3696146"/>
            <a:ext cx="2552166" cy="76817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2400" b="1">
                <a:solidFill>
                  <a:schemeClr val="accent5"/>
                </a:solidFill>
                <a:latin typeface="+mn-lt"/>
                <a:ea typeface="+mn-ea"/>
                <a:cs typeface="+mn-cs"/>
              </a:rPr>
              <a:t>TARGET DELIVERY:</a:t>
            </a:r>
            <a:endParaRPr lang="en-IL" sz="2400" b="1">
              <a:solidFill>
                <a:schemeClr val="accent5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9</xdr:col>
      <xdr:colOff>2493505</xdr:colOff>
      <xdr:row>5</xdr:row>
      <xdr:rowOff>0</xdr:rowOff>
    </xdr:from>
    <xdr:to>
      <xdr:col>10</xdr:col>
      <xdr:colOff>372492</xdr:colOff>
      <xdr:row>13</xdr:row>
      <xdr:rowOff>10886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97CE877-C4B6-F391-7F36-4A8CA45E4EB1}"/>
            </a:ext>
          </a:extLst>
        </xdr:cNvPr>
        <xdr:cNvGrpSpPr/>
      </xdr:nvGrpSpPr>
      <xdr:grpSpPr>
        <a:xfrm>
          <a:off x="29204328" y="2013857"/>
          <a:ext cx="7349558" cy="2732315"/>
          <a:chOff x="33900340" y="2043545"/>
          <a:chExt cx="7317953" cy="2770910"/>
        </a:xfrm>
      </xdr:grpSpPr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71A9A6C5-180A-4A75-86D3-14493E5BE7A8}"/>
              </a:ext>
            </a:extLst>
          </xdr:cNvPr>
          <xdr:cNvSpPr/>
        </xdr:nvSpPr>
        <xdr:spPr>
          <a:xfrm>
            <a:off x="33900343" y="2043545"/>
            <a:ext cx="7307592" cy="27709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L" sz="1100"/>
          </a:p>
        </xdr:txBody>
      </xdr:sp>
      <xdr:sp macro="" textlink="'Project Info'!B5">
        <xdr:nvSpPr>
          <xdr:cNvPr id="81" name="Rectangle 80">
            <a:extLst>
              <a:ext uri="{FF2B5EF4-FFF2-40B4-BE49-F238E27FC236}">
                <a16:creationId xmlns:a16="http://schemas.microsoft.com/office/drawing/2014/main" id="{18ED2AA2-11B1-4D64-A8D1-4D2EA1B6B117}"/>
              </a:ext>
            </a:extLst>
          </xdr:cNvPr>
          <xdr:cNvSpPr/>
        </xdr:nvSpPr>
        <xdr:spPr>
          <a:xfrm>
            <a:off x="36930806" y="2293237"/>
            <a:ext cx="4287487" cy="7673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FA07D068-4C42-4DE1-B203-600B1B0C263D}" type="TxLink">
              <a:rPr lang="en-US" sz="2400" b="1">
                <a:solidFill>
                  <a:schemeClr val="accent5"/>
                </a:solidFill>
                <a:latin typeface="+mn-lt"/>
                <a:ea typeface="+mn-ea"/>
                <a:cs typeface="+mn-cs"/>
              </a:rPr>
              <a:pPr marL="0" indent="0" algn="ctr"/>
              <a:t> </a:t>
            </a:fld>
            <a:endParaRPr lang="en-IL" sz="2400" b="1">
              <a:solidFill>
                <a:schemeClr val="accent5"/>
              </a:solidFill>
              <a:latin typeface="+mn-lt"/>
              <a:ea typeface="+mn-ea"/>
              <a:cs typeface="+mn-cs"/>
            </a:endParaRPr>
          </a:p>
        </xdr:txBody>
      </xdr:sp>
      <xdr:sp macro="" textlink="System!B10">
        <xdr:nvSpPr>
          <xdr:cNvPr id="82" name="Rectangle 81">
            <a:extLst>
              <a:ext uri="{FF2B5EF4-FFF2-40B4-BE49-F238E27FC236}">
                <a16:creationId xmlns:a16="http://schemas.microsoft.com/office/drawing/2014/main" id="{69AE7852-9020-490E-AD97-BC3028E0E614}"/>
              </a:ext>
            </a:extLst>
          </xdr:cNvPr>
          <xdr:cNvSpPr/>
        </xdr:nvSpPr>
        <xdr:spPr>
          <a:xfrm>
            <a:off x="36379190" y="3730584"/>
            <a:ext cx="4630079" cy="7721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40A11493-DCDB-4B5F-BA69-717BDC988961}" type="TxLink">
              <a:rPr lang="en-US" sz="2400" b="1">
                <a:solidFill>
                  <a:schemeClr val="accent5"/>
                </a:solidFill>
                <a:latin typeface="+mn-lt"/>
                <a:ea typeface="+mn-ea"/>
                <a:cs typeface="+mn-cs"/>
              </a:rPr>
              <a:pPr marL="0" indent="0" algn="ctr"/>
              <a:t> </a:t>
            </a:fld>
            <a:endParaRPr lang="en-IL" sz="2400" b="1">
              <a:solidFill>
                <a:schemeClr val="accent5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83" name="Straight Connector 82">
            <a:extLst>
              <a:ext uri="{FF2B5EF4-FFF2-40B4-BE49-F238E27FC236}">
                <a16:creationId xmlns:a16="http://schemas.microsoft.com/office/drawing/2014/main" id="{BD9962C1-243B-4369-87A2-CE3D9ABCF456}"/>
              </a:ext>
            </a:extLst>
          </xdr:cNvPr>
          <xdr:cNvCxnSpPr>
            <a:stCxn id="80" idx="3"/>
            <a:endCxn id="80" idx="1"/>
          </xdr:cNvCxnSpPr>
        </xdr:nvCxnSpPr>
        <xdr:spPr>
          <a:xfrm flipH="1">
            <a:off x="33900343" y="3404260"/>
            <a:ext cx="7307592" cy="0"/>
          </a:xfrm>
          <a:prstGeom prst="line">
            <a:avLst/>
          </a:prstGeom>
          <a:noFill/>
          <a:ln w="76200">
            <a:solidFill>
              <a:schemeClr val="accent1"/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  <a:softEdge rad="3175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cxnSp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7336DF16-EB0C-4856-AB87-CAFFBD4CB722}"/>
              </a:ext>
            </a:extLst>
          </xdr:cNvPr>
          <xdr:cNvSpPr/>
        </xdr:nvSpPr>
        <xdr:spPr>
          <a:xfrm>
            <a:off x="33900340" y="2320451"/>
            <a:ext cx="2979966" cy="76260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2400" b="1">
                <a:solidFill>
                  <a:schemeClr val="accent5"/>
                </a:solidFill>
                <a:latin typeface="+mn-lt"/>
                <a:ea typeface="+mn-ea"/>
                <a:cs typeface="+mn-cs"/>
              </a:rPr>
              <a:t>PROJECT STATUS:</a:t>
            </a:r>
            <a:endParaRPr lang="en-IL" sz="2400" b="1">
              <a:solidFill>
                <a:schemeClr val="accent5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A4BD7ED6-FE4F-4F30-8D7F-DB49B6C16C5D}"/>
              </a:ext>
            </a:extLst>
          </xdr:cNvPr>
          <xdr:cNvSpPr/>
        </xdr:nvSpPr>
        <xdr:spPr>
          <a:xfrm>
            <a:off x="33900340" y="3728852"/>
            <a:ext cx="2297404" cy="7738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2400" b="1">
                <a:solidFill>
                  <a:schemeClr val="accent5"/>
                </a:solidFill>
                <a:latin typeface="+mn-lt"/>
                <a:ea typeface="+mn-ea"/>
                <a:cs typeface="+mn-cs"/>
              </a:rPr>
              <a:t>LAST UPDATE:</a:t>
            </a:r>
            <a:endParaRPr lang="en-IL" sz="2400" b="1">
              <a:solidFill>
                <a:schemeClr val="accent5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2</xdr:col>
      <xdr:colOff>751114</xdr:colOff>
      <xdr:row>4</xdr:row>
      <xdr:rowOff>285156</xdr:rowOff>
    </xdr:from>
    <xdr:to>
      <xdr:col>10</xdr:col>
      <xdr:colOff>325545</xdr:colOff>
      <xdr:row>5</xdr:row>
      <xdr:rowOff>27385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4FCAC86F-AA35-49ED-815C-EDA0FFBAFF1E}"/>
            </a:ext>
          </a:extLst>
        </xdr:cNvPr>
        <xdr:cNvCxnSpPr/>
      </xdr:nvCxnSpPr>
      <xdr:spPr>
        <a:xfrm flipH="1">
          <a:off x="4686300" y="2032994"/>
          <a:ext cx="31718250" cy="47029"/>
        </a:xfrm>
        <a:prstGeom prst="line">
          <a:avLst/>
        </a:prstGeom>
        <a:ln w="38100"/>
        <a:effectLst>
          <a:outerShdw blurRad="50800" dist="38100" dir="5400000" algn="t" rotWithShape="0">
            <a:prstClr val="black">
              <a:alpha val="40000"/>
            </a:prstClr>
          </a:outerShdw>
          <a:softEdge rad="12700"/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799388</xdr:colOff>
      <xdr:row>12</xdr:row>
      <xdr:rowOff>180346</xdr:rowOff>
    </xdr:from>
    <xdr:to>
      <xdr:col>10</xdr:col>
      <xdr:colOff>236762</xdr:colOff>
      <xdr:row>12</xdr:row>
      <xdr:rowOff>217714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3B41B6D4-E60F-49C5-B693-3F41AF505BEC}"/>
            </a:ext>
          </a:extLst>
        </xdr:cNvPr>
        <xdr:cNvCxnSpPr/>
      </xdr:nvCxnSpPr>
      <xdr:spPr>
        <a:xfrm flipH="1" flipV="1">
          <a:off x="4772674" y="4616275"/>
          <a:ext cx="31694469" cy="37368"/>
        </a:xfrm>
        <a:prstGeom prst="line">
          <a:avLst/>
        </a:prstGeom>
        <a:ln w="38100"/>
        <a:effectLst>
          <a:outerShdw blurRad="50800" dist="38100" dir="5400000" algn="t" rotWithShape="0">
            <a:prstClr val="black">
              <a:alpha val="40000"/>
            </a:prstClr>
          </a:outerShdw>
          <a:softEdge rad="12700"/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1979833</xdr:colOff>
      <xdr:row>5</xdr:row>
      <xdr:rowOff>161244</xdr:rowOff>
    </xdr:from>
    <xdr:to>
      <xdr:col>9</xdr:col>
      <xdr:colOff>1992076</xdr:colOff>
      <xdr:row>12</xdr:row>
      <xdr:rowOff>95249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F1E4165D-B196-406C-854B-E85D8BAE513B}"/>
            </a:ext>
          </a:extLst>
        </xdr:cNvPr>
        <xdr:cNvCxnSpPr/>
      </xdr:nvCxnSpPr>
      <xdr:spPr>
        <a:xfrm>
          <a:off x="28602893" y="2218644"/>
          <a:ext cx="2043" cy="2372405"/>
        </a:xfrm>
        <a:prstGeom prst="line">
          <a:avLst/>
        </a:prstGeom>
        <a:ln w="76200"/>
        <a:effectLst>
          <a:outerShdw blurRad="50800" dist="38100" dir="5400000" algn="t" rotWithShape="0">
            <a:prstClr val="black">
              <a:alpha val="40000"/>
            </a:prstClr>
          </a:outerShdw>
          <a:softEdge rad="31750"/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1131432</xdr:colOff>
      <xdr:row>5</xdr:row>
      <xdr:rowOff>197983</xdr:rowOff>
    </xdr:from>
    <xdr:to>
      <xdr:col>6</xdr:col>
      <xdr:colOff>1131432</xdr:colOff>
      <xdr:row>12</xdr:row>
      <xdr:rowOff>122464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8DAE5C1B-2FAD-4110-9475-D6AA5FA32A26}"/>
            </a:ext>
          </a:extLst>
        </xdr:cNvPr>
        <xdr:cNvCxnSpPr/>
      </xdr:nvCxnSpPr>
      <xdr:spPr>
        <a:xfrm>
          <a:off x="20309342" y="2255383"/>
          <a:ext cx="0" cy="2362881"/>
        </a:xfrm>
        <a:prstGeom prst="line">
          <a:avLst/>
        </a:prstGeom>
        <a:ln w="76200"/>
        <a:effectLst>
          <a:outerShdw blurRad="50800" dist="38100" dir="5400000" algn="t" rotWithShape="0">
            <a:prstClr val="black">
              <a:alpha val="40000"/>
            </a:prstClr>
          </a:outerShdw>
          <a:softEdge rad="31750"/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5773505</xdr:colOff>
      <xdr:row>5</xdr:row>
      <xdr:rowOff>114299</xdr:rowOff>
    </xdr:from>
    <xdr:to>
      <xdr:col>3</xdr:col>
      <xdr:colOff>5773505</xdr:colOff>
      <xdr:row>12</xdr:row>
      <xdr:rowOff>38780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A4C559A6-AD5F-452D-BDB5-F74358C1BE5B}"/>
            </a:ext>
          </a:extLst>
        </xdr:cNvPr>
        <xdr:cNvCxnSpPr/>
      </xdr:nvCxnSpPr>
      <xdr:spPr>
        <a:xfrm>
          <a:off x="12346779" y="2145507"/>
          <a:ext cx="0" cy="2381931"/>
        </a:xfrm>
        <a:prstGeom prst="line">
          <a:avLst/>
        </a:prstGeom>
        <a:ln w="76200"/>
        <a:effectLst>
          <a:outerShdw blurRad="50800" dist="38100" dir="5400000" algn="t" rotWithShape="0">
            <a:prstClr val="black">
              <a:alpha val="40000"/>
            </a:prstClr>
          </a:outerShdw>
          <a:softEdge rad="31750"/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41821-F710-4F7A-A944-6A1CDC6C04EA}" name="tblDiscussions" displayName="tblDiscussions" ref="A1:U17" totalsRowShown="0" headerRowDxfId="34" dataDxfId="12">
  <autoFilter ref="A1:U17" xr:uid="{CFB41821-F710-4F7A-A944-6A1CDC6C04EA}"/>
  <tableColumns count="21">
    <tableColumn id="1" xr3:uid="{D454DE9B-9761-401C-A4B5-C4202BBDCC6E}" name="ID" dataDxfId="33">
      <calculatedColumnFormula array="1">"D-"&amp;TEXT(ROW()-ROW(tblDiscussions[#Headers]),"000")</calculatedColumnFormula>
    </tableColumn>
    <tableColumn id="2" xr3:uid="{D3DC594E-BA1D-4496-B2A6-FC86ED5F2D71}" name="Date Opened" dataDxfId="32"/>
    <tableColumn id="15" xr3:uid="{63C501AE-376D-4386-9019-702E12A34500}" name="Issue" dataDxfId="31"/>
    <tableColumn id="4" xr3:uid="{75D9EDAE-2293-4873-ACE1-2A9000D30CD2}" name="Status" dataDxfId="30"/>
    <tableColumn id="5" xr3:uid="{88A951B2-C7CA-4655-976E-8063383726DA}" name="Priority" dataDxfId="29"/>
    <tableColumn id="6" xr3:uid="{7DFC8FE5-EC9E-400F-9B33-063BFE102F00}" name="Phase" dataDxfId="28"/>
    <tableColumn id="9" xr3:uid="{F566C159-7684-42A2-B533-567B99233EBF}" name="Technology" dataDxfId="27"/>
    <tableColumn id="10" xr3:uid="{182B70F4-D6B6-4B3A-AAFA-80D8FBFCACCB}" name="Category" dataDxfId="26"/>
    <tableColumn id="11" xr3:uid="{740AC0CD-73E3-4AE5-B198-130119A18F4D}" name="Part Number" dataDxfId="25"/>
    <tableColumn id="12" xr3:uid="{77E3BB90-8C4A-40B1-84E2-604BC0D97C5C}" name="Part Description" dataDxfId="24"/>
    <tableColumn id="13" xr3:uid="{5D6467A9-F0A6-4F1B-A4B2-2499D6A8507B}" name="Drawing No." dataDxfId="23"/>
    <tableColumn id="14" xr3:uid="{7CEE441C-9652-4585-BD75-BCEEC240C4CF}" name="Rev" dataDxfId="22"/>
    <tableColumn id="21" xr3:uid="{773467D9-D1A4-46A0-BB0A-8AD70E2498A9}" name="Discussion Logs" dataDxfId="21"/>
    <tableColumn id="8" xr3:uid="{7EA3E4D9-0212-4300-BA8C-ED13B7EC0CC6}" name="Supplier" dataDxfId="20"/>
    <tableColumn id="29" xr3:uid="{328B07E6-4933-44CD-8080-E55B7D863177}" name="Current Owner" dataDxfId="19"/>
    <tableColumn id="23" xr3:uid="{CB889AFF-82AE-4781-90E7-EF868432F859}" name="Picture" dataDxfId="18"/>
    <tableColumn id="24" xr3:uid="{C62284E8-9E84-4753-BCD5-1F6CC53DD759}" name="Drawing Link" dataDxfId="17"/>
    <tableColumn id="26" xr3:uid="{B8296088-6CA8-4D19-B0E4-91DE2444D09F}" name="Comments" dataDxfId="16"/>
    <tableColumn id="27" xr3:uid="{363D4730-7FEF-446F-98A5-E075130B0B35}" name="Date Closed" dataDxfId="15"/>
    <tableColumn id="3" xr3:uid="{15E46F10-D10F-4779-B553-F44233EED00E}" name="Last Updated" dataDxfId="14"/>
    <tableColumn id="28" xr3:uid="{BE82D07D-F755-45A3-B7B0-22301AFB258E}" name="Reference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A12E97-317D-41FA-8983-238F8E389ED2}" name="tblActions" displayName="tblActions" ref="A1:J12" totalsRowShown="0">
  <autoFilter ref="A1:J12" xr:uid="{F4A12E97-317D-41FA-8983-238F8E389ED2}"/>
  <tableColumns count="10">
    <tableColumn id="1" xr3:uid="{E2B2F02F-6F3C-45A9-8E42-E89D563D32EF}" name="Action ID"/>
    <tableColumn id="2" xr3:uid="{5CA2D574-E060-4CB3-B9F9-DA744AA37166}" name="Date Opened"/>
    <tableColumn id="3" xr3:uid="{F954127F-9086-4365-8071-FDBD00F5F410}" name="Action"/>
    <tableColumn id="4" xr3:uid="{0887B5A4-DD78-44BB-BEC3-50F62F76078B}" name="Related Discussion ID"/>
    <tableColumn id="10" xr3:uid="{9FF8C8E2-AE47-45ED-898E-CDAD8036D5D6}" name="Category"/>
    <tableColumn id="5" xr3:uid="{0B98DDFD-E687-47CD-9E1D-C05DAD9C749B}" name="Owner"/>
    <tableColumn id="6" xr3:uid="{61F64D3F-7C97-4EC5-82E3-E6BF763E4142}" name="Due Date"/>
    <tableColumn id="7" xr3:uid="{D4E6BA23-DDBF-4C0A-96AD-F81B48B9A3A1}" name="Status"/>
    <tableColumn id="8" xr3:uid="{E71F3CA1-1883-4FD3-8A3A-7F28CF32F6AA}" name="Completion Date"/>
    <tableColumn id="9" xr3:uid="{BF965AE7-2537-4F38-A330-BBDEFBAC6A24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3E3042-66CF-4DA4-AA50-F1453041C9AE}" name="tblMeetings" displayName="tblMeetings" ref="A1:G9" totalsRowShown="0">
  <autoFilter ref="A1:G9" xr:uid="{AE3E3042-66CF-4DA4-AA50-F1453041C9AE}"/>
  <tableColumns count="7">
    <tableColumn id="1" xr3:uid="{AF7988B2-E9CC-40B0-8112-47745996719D}" name="Meeting ID"/>
    <tableColumn id="2" xr3:uid="{EC74AFDC-C3D3-421D-A47E-B4E4B78C181C}" name="Meeting Date"/>
    <tableColumn id="3" xr3:uid="{841905AB-5BBD-43F3-A779-5949520474B3}" name="Meeting Type"/>
    <tableColumn id="4" xr3:uid="{C9B6FE30-D0B0-4FD6-AEE3-4C5A5E77BFA8}" name="Participants"/>
    <tableColumn id="5" xr3:uid="{F79CD4C3-E96D-4BDA-A307-7EB47865F2D7}" name="Summary"/>
    <tableColumn id="6" xr3:uid="{3865B277-6C59-47E4-8407-B584ED65A707}" name="Meeting Reference"/>
    <tableColumn id="8" xr3:uid="{4AC3DF83-7D6C-4718-9F0D-53712024EFD8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47"/>
  <sheetViews>
    <sheetView showGridLines="0" tabSelected="1" zoomScale="35" zoomScaleNormal="35" workbookViewId="0">
      <selection activeCell="D41" sqref="D41"/>
    </sheetView>
  </sheetViews>
  <sheetFormatPr defaultRowHeight="14.25"/>
  <cols>
    <col min="1" max="1" width="16.59765625" style="8" customWidth="1"/>
    <col min="2" max="2" width="38.59765625" style="8" customWidth="1"/>
    <col min="3" max="3" width="37.1328125" style="8" customWidth="1"/>
    <col min="4" max="4" width="94.796875" style="8" customWidth="1"/>
    <col min="5" max="5" width="33.3984375" style="8" customWidth="1"/>
    <col min="6" max="6" width="48.86328125" style="8" customWidth="1"/>
    <col min="7" max="7" width="22.33203125" style="8" customWidth="1"/>
    <col min="8" max="8" width="41.1328125" style="8" customWidth="1"/>
    <col min="9" max="9" width="41" style="8" customWidth="1"/>
    <col min="10" max="10" width="132.59765625" style="8" customWidth="1"/>
    <col min="11" max="11" width="50.9296875" style="8" customWidth="1"/>
    <col min="12" max="12" width="7.265625" style="66" customWidth="1"/>
    <col min="13" max="13" width="26.46484375" style="8" customWidth="1"/>
    <col min="14" max="14" width="18.06640625" style="8" customWidth="1"/>
    <col min="15" max="15" width="25.53125" style="8" customWidth="1"/>
    <col min="16" max="16" width="5.9296875" style="8" customWidth="1"/>
    <col min="17" max="17" width="35.796875" style="8" customWidth="1"/>
    <col min="18" max="19" width="16.59765625" style="8" customWidth="1"/>
    <col min="20" max="20" width="6.59765625" style="8" customWidth="1"/>
    <col min="21" max="21" width="29.1328125" style="8" customWidth="1"/>
    <col min="22" max="22" width="27.6640625" style="8" bestFit="1" customWidth="1"/>
    <col min="23" max="25" width="16.59765625" style="8" customWidth="1"/>
    <col min="26" max="26" width="22.73046875" style="8" bestFit="1" customWidth="1"/>
    <col min="27" max="16384" width="9.06640625" style="8"/>
  </cols>
  <sheetData>
    <row r="1" spans="1:22" ht="24" customHeight="1">
      <c r="A1" s="5"/>
      <c r="B1" s="5"/>
      <c r="C1" s="5"/>
      <c r="D1" s="6"/>
      <c r="E1" s="6"/>
      <c r="F1" s="6"/>
      <c r="G1" s="6"/>
      <c r="H1" s="6"/>
      <c r="I1" s="6"/>
      <c r="J1" s="6"/>
      <c r="K1" s="6"/>
      <c r="L1" s="65"/>
      <c r="M1" s="6"/>
      <c r="N1" s="7"/>
      <c r="O1" s="7"/>
      <c r="P1" s="7"/>
      <c r="Q1" s="7"/>
      <c r="R1" s="33"/>
      <c r="S1" s="33"/>
      <c r="T1" s="33"/>
      <c r="U1" s="33"/>
    </row>
    <row r="2" spans="1:22" ht="35.25" customHeight="1">
      <c r="A2" s="5"/>
      <c r="B2" s="5"/>
      <c r="C2" s="5"/>
      <c r="D2" s="35" t="s">
        <v>106</v>
      </c>
      <c r="E2" s="35"/>
      <c r="F2" s="35"/>
      <c r="G2" s="35"/>
      <c r="H2" s="35"/>
      <c r="I2" s="35"/>
      <c r="J2" s="35"/>
      <c r="K2" s="35"/>
      <c r="L2" s="35"/>
      <c r="M2" s="35"/>
      <c r="N2" s="32"/>
      <c r="O2" s="32"/>
      <c r="P2" s="32"/>
      <c r="Q2" s="32"/>
      <c r="R2" s="34"/>
      <c r="S2" s="34"/>
      <c r="T2" s="34"/>
      <c r="U2" s="34"/>
    </row>
    <row r="3" spans="1:22" ht="44.25" customHeight="1">
      <c r="A3" s="5"/>
      <c r="B3" s="5"/>
      <c r="C3" s="5"/>
      <c r="D3" s="35"/>
      <c r="E3" s="35"/>
      <c r="F3" s="35"/>
      <c r="G3" s="35"/>
      <c r="H3" s="35"/>
      <c r="I3" s="35"/>
      <c r="J3" s="35"/>
      <c r="K3" s="35"/>
      <c r="L3" s="35"/>
      <c r="M3" s="35"/>
      <c r="N3" s="32"/>
      <c r="O3" s="32"/>
      <c r="P3" s="32"/>
      <c r="Q3" s="32"/>
      <c r="R3" s="34"/>
      <c r="S3" s="34"/>
      <c r="T3" s="34"/>
      <c r="U3" s="34"/>
      <c r="V3" s="14"/>
    </row>
    <row r="4" spans="1:22" ht="32.25" customHeight="1">
      <c r="A4" s="5"/>
      <c r="B4" s="5"/>
      <c r="C4" s="5"/>
      <c r="D4" s="6"/>
      <c r="E4" s="6"/>
      <c r="F4" s="6"/>
      <c r="G4" s="6"/>
      <c r="H4" s="6"/>
      <c r="I4" s="6"/>
      <c r="J4" s="6"/>
      <c r="K4" s="6"/>
      <c r="L4" s="65"/>
      <c r="M4" s="6"/>
      <c r="N4" s="7"/>
      <c r="O4" s="7"/>
      <c r="P4" s="7"/>
      <c r="Q4" s="7"/>
      <c r="R4" s="33"/>
      <c r="S4" s="33"/>
      <c r="T4" s="33"/>
      <c r="U4" s="33"/>
    </row>
    <row r="5" spans="1:22" ht="24" customHeight="1"/>
    <row r="6" spans="1:22" ht="30" customHeight="1">
      <c r="C6" s="39"/>
      <c r="D6" s="39"/>
      <c r="E6" s="39"/>
      <c r="I6" s="39"/>
      <c r="J6" s="39"/>
      <c r="K6" s="39"/>
      <c r="N6" s="17"/>
      <c r="O6" s="17"/>
      <c r="V6" s="17"/>
    </row>
    <row r="7" spans="1:22" ht="30" customHeight="1">
      <c r="L7" s="40" t="s">
        <v>58</v>
      </c>
      <c r="M7" s="40"/>
    </row>
    <row r="8" spans="1:22" ht="30" customHeight="1">
      <c r="L8" s="40"/>
      <c r="M8" s="40"/>
    </row>
    <row r="9" spans="1:22" ht="30" customHeight="1">
      <c r="L9" s="8"/>
    </row>
    <row r="10" spans="1:22" ht="24" customHeight="1">
      <c r="L10" s="18" t="e">
        <f ca="1">System!B8</f>
        <v>#REF!</v>
      </c>
      <c r="M10" s="19" t="e">
        <f ca="1">System!B8</f>
        <v>#REF!</v>
      </c>
    </row>
    <row r="11" spans="1:22" ht="24" customHeight="1"/>
    <row r="12" spans="1:22" ht="24" customHeight="1"/>
    <row r="13" spans="1:22" ht="24" customHeight="1"/>
    <row r="14" spans="1:22" ht="24" customHeight="1"/>
    <row r="15" spans="1:22" ht="24" customHeight="1"/>
    <row r="16" spans="1:22" ht="24" customHeight="1"/>
    <row r="17" spans="1:17" ht="24" customHeight="1"/>
    <row r="18" spans="1:17" ht="40.049999999999997" customHeight="1">
      <c r="L18" s="67"/>
      <c r="Q18" s="13"/>
    </row>
    <row r="19" spans="1:17" s="11" customFormat="1" ht="40.049999999999997" customHeight="1">
      <c r="L19" s="68"/>
    </row>
    <row r="20" spans="1:17" ht="40.049999999999997" customHeight="1">
      <c r="A20" s="54"/>
    </row>
    <row r="21" spans="1:17" ht="40.049999999999997" customHeight="1">
      <c r="A21" s="54"/>
    </row>
    <row r="22" spans="1:17" ht="40.049999999999997" customHeight="1">
      <c r="A22" s="54"/>
      <c r="B22" s="36" t="s">
        <v>112</v>
      </c>
      <c r="C22" s="37"/>
      <c r="D22" s="37"/>
      <c r="E22" s="37"/>
      <c r="F22" s="38"/>
      <c r="H22" s="36" t="s">
        <v>101</v>
      </c>
      <c r="I22" s="37"/>
      <c r="J22" s="37"/>
      <c r="K22" s="38"/>
    </row>
    <row r="23" spans="1:17" ht="40.049999999999997" customHeight="1">
      <c r="A23" s="54"/>
      <c r="B23" s="58" t="s">
        <v>113</v>
      </c>
      <c r="C23" s="56"/>
      <c r="D23" s="54"/>
      <c r="E23" s="54"/>
      <c r="F23" s="29"/>
      <c r="H23" s="28" t="s">
        <v>100</v>
      </c>
      <c r="I23" s="28" t="s">
        <v>71</v>
      </c>
      <c r="J23" s="69" t="s">
        <v>102</v>
      </c>
      <c r="K23" s="28" t="s">
        <v>4</v>
      </c>
    </row>
    <row r="24" spans="1:17" ht="39.75" customHeight="1">
      <c r="A24" s="54"/>
      <c r="B24" s="55" t="str">
        <f>System!Y2</f>
        <v>Documentation</v>
      </c>
      <c r="C24" s="56">
        <f>System!Z2</f>
        <v>0</v>
      </c>
      <c r="D24" s="54"/>
      <c r="E24" s="54"/>
      <c r="F24" s="29"/>
      <c r="H24" s="64" t="str" cm="1">
        <f t="array" ref="H24">_xlfn.ANCHORARRAY(System!J2)</f>
        <v/>
      </c>
      <c r="I24" s="51"/>
      <c r="J24" s="49"/>
      <c r="K24" s="51"/>
    </row>
    <row r="25" spans="1:17" ht="40.049999999999997" customHeight="1">
      <c r="A25" s="54"/>
      <c r="B25" s="55" t="str">
        <f>System!Y3</f>
        <v>Manufacturing</v>
      </c>
      <c r="C25" s="56">
        <f>System!Z3</f>
        <v>0</v>
      </c>
      <c r="D25" s="54"/>
      <c r="E25" s="54"/>
      <c r="F25" s="29"/>
      <c r="H25" s="64"/>
      <c r="I25" s="51"/>
      <c r="J25" s="49"/>
      <c r="K25" s="51"/>
    </row>
    <row r="26" spans="1:17" ht="40.049999999999997" customHeight="1">
      <c r="A26" s="54"/>
      <c r="B26" s="55" t="str">
        <f>System!Y4</f>
        <v>Material</v>
      </c>
      <c r="C26" s="56">
        <f>System!Z4</f>
        <v>0</v>
      </c>
      <c r="D26" s="54"/>
      <c r="E26" s="54"/>
      <c r="F26" s="29"/>
      <c r="H26" s="64"/>
      <c r="I26" s="51"/>
      <c r="J26" s="49"/>
      <c r="K26" s="51"/>
    </row>
    <row r="27" spans="1:17" ht="40.049999999999997" customHeight="1">
      <c r="A27" s="54"/>
      <c r="B27" s="55" t="str">
        <f>System!Y5</f>
        <v>Tolerance</v>
      </c>
      <c r="C27" s="56">
        <f>System!Z5</f>
        <v>0</v>
      </c>
      <c r="D27" s="54"/>
      <c r="E27" s="54"/>
      <c r="F27" s="29"/>
      <c r="H27" s="64"/>
      <c r="I27" s="51"/>
      <c r="J27" s="49"/>
      <c r="K27" s="51"/>
    </row>
    <row r="28" spans="1:17" ht="40.049999999999997" customHeight="1">
      <c r="A28" s="54"/>
      <c r="B28" s="55" t="str">
        <f>System!Y6</f>
        <v>Surface Finish</v>
      </c>
      <c r="C28" s="56">
        <f>System!Z6</f>
        <v>0</v>
      </c>
      <c r="D28" s="54"/>
      <c r="E28" s="54"/>
      <c r="F28" s="29"/>
      <c r="H28" s="64"/>
      <c r="I28" s="51"/>
      <c r="J28" s="49"/>
      <c r="K28" s="51"/>
    </row>
    <row r="29" spans="1:17" ht="40.049999999999997" customHeight="1">
      <c r="A29" s="54"/>
      <c r="B29" s="55" t="str">
        <f>System!Y7</f>
        <v>Assembly</v>
      </c>
      <c r="C29" s="56">
        <f>System!Z7</f>
        <v>0</v>
      </c>
      <c r="D29" s="54"/>
      <c r="E29" s="54"/>
      <c r="F29" s="29"/>
      <c r="H29" s="64"/>
      <c r="I29" s="51"/>
      <c r="J29" s="49"/>
      <c r="K29" s="51"/>
    </row>
    <row r="30" spans="1:17" ht="40.049999999999997" customHeight="1">
      <c r="A30" s="54"/>
      <c r="B30" s="55" t="str">
        <f>System!Y8</f>
        <v>Quality</v>
      </c>
      <c r="C30" s="56">
        <f>System!Z8</f>
        <v>0</v>
      </c>
      <c r="D30" s="54"/>
      <c r="E30" s="54"/>
      <c r="F30" s="29"/>
      <c r="H30" s="64"/>
      <c r="I30" s="51"/>
      <c r="J30" s="52"/>
      <c r="K30" s="51"/>
    </row>
    <row r="31" spans="1:17" ht="40.049999999999997" customHeight="1">
      <c r="A31" s="54"/>
      <c r="B31" s="55" t="str">
        <f>System!Y9</f>
        <v>Supplier Capability</v>
      </c>
      <c r="C31" s="56">
        <f>System!Z9</f>
        <v>0</v>
      </c>
      <c r="D31" s="54"/>
      <c r="E31" s="54"/>
      <c r="F31" s="29"/>
      <c r="H31" s="64"/>
      <c r="I31" s="51"/>
      <c r="J31" s="52"/>
      <c r="K31" s="51"/>
    </row>
    <row r="32" spans="1:17" ht="40.049999999999997" customHeight="1">
      <c r="A32" s="54"/>
      <c r="B32" s="55" t="str">
        <f>System!Y10</f>
        <v>Commercial</v>
      </c>
      <c r="C32" s="56">
        <f>System!Z10</f>
        <v>0</v>
      </c>
      <c r="D32" s="54"/>
      <c r="E32" s="54"/>
      <c r="F32" s="29"/>
      <c r="H32" s="64"/>
      <c r="I32" s="51"/>
      <c r="J32" s="52"/>
      <c r="K32" s="51"/>
    </row>
    <row r="33" spans="1:13" ht="40.049999999999997" customHeight="1">
      <c r="A33" s="54"/>
      <c r="B33" s="55" t="str">
        <f>System!Y11</f>
        <v>Logistics</v>
      </c>
      <c r="C33" s="56">
        <f>System!Z11</f>
        <v>0</v>
      </c>
      <c r="D33" s="54"/>
      <c r="E33" s="54"/>
      <c r="F33" s="29"/>
      <c r="H33" s="64"/>
      <c r="I33" s="51"/>
      <c r="J33" s="52"/>
      <c r="K33" s="51"/>
    </row>
    <row r="34" spans="1:13" ht="40.15" customHeight="1">
      <c r="A34" s="54"/>
      <c r="B34" s="55" t="str">
        <f>System!Y12</f>
        <v>Drawing</v>
      </c>
      <c r="C34" s="56">
        <f>System!Z12</f>
        <v>0</v>
      </c>
      <c r="D34" s="54"/>
      <c r="E34" s="54"/>
      <c r="F34" s="29"/>
      <c r="H34" s="64"/>
      <c r="I34" s="51"/>
      <c r="J34" s="52"/>
      <c r="K34" s="51"/>
    </row>
    <row r="35" spans="1:13" ht="40.049999999999997" customHeight="1">
      <c r="A35" s="54"/>
      <c r="B35" s="55" t="str">
        <f>System!Y13</f>
        <v>Packaging</v>
      </c>
      <c r="C35" s="56">
        <f>System!Z13</f>
        <v>0</v>
      </c>
      <c r="D35" s="54"/>
      <c r="E35" s="54"/>
      <c r="F35" s="29"/>
      <c r="J35" s="59"/>
      <c r="K35" s="60"/>
      <c r="L35" s="61"/>
      <c r="M35" s="60"/>
    </row>
    <row r="36" spans="1:13" ht="40.049999999999997" customHeight="1">
      <c r="A36" s="54"/>
      <c r="B36" s="57" t="str">
        <f>System!Y14</f>
        <v>Other</v>
      </c>
      <c r="C36" s="31">
        <f>System!Z14</f>
        <v>0</v>
      </c>
      <c r="D36" s="27"/>
      <c r="E36" s="27"/>
      <c r="F36" s="30"/>
      <c r="J36" s="59"/>
      <c r="K36" s="60"/>
      <c r="L36" s="61"/>
      <c r="M36" s="60"/>
    </row>
    <row r="37" spans="1:13" ht="40.049999999999997" customHeight="1">
      <c r="A37" s="54"/>
      <c r="J37" s="62"/>
      <c r="K37" s="63"/>
      <c r="L37" s="70"/>
      <c r="M37" s="63"/>
    </row>
    <row r="38" spans="1:13" ht="40.049999999999997" customHeight="1">
      <c r="B38" s="36" t="s">
        <v>114</v>
      </c>
      <c r="C38" s="37"/>
      <c r="D38" s="37"/>
      <c r="E38" s="37"/>
      <c r="F38" s="38"/>
      <c r="J38" s="62"/>
      <c r="K38" s="63"/>
      <c r="L38" s="70"/>
      <c r="M38" s="63"/>
    </row>
    <row r="39" spans="1:13" ht="40.049999999999997" customHeight="1">
      <c r="B39" s="28" t="s">
        <v>0</v>
      </c>
      <c r="C39" s="28" t="s">
        <v>71</v>
      </c>
      <c r="D39" s="28" t="s">
        <v>99</v>
      </c>
      <c r="E39" s="28" t="s">
        <v>4</v>
      </c>
      <c r="F39" s="28" t="s">
        <v>17</v>
      </c>
      <c r="J39" s="62"/>
      <c r="K39" s="63"/>
      <c r="L39" s="70"/>
      <c r="M39" s="63"/>
    </row>
    <row r="40" spans="1:13" ht="40.049999999999997" customHeight="1">
      <c r="B40" s="50" t="str" cm="1">
        <f t="array" ref="B40">_xlfn.ANCHORARRAY(System!D2)</f>
        <v/>
      </c>
      <c r="C40" s="51"/>
      <c r="D40" s="51"/>
      <c r="E40" s="51"/>
      <c r="F40" s="51"/>
      <c r="J40" s="62"/>
      <c r="K40" s="63"/>
      <c r="L40" s="70"/>
      <c r="M40" s="63"/>
    </row>
    <row r="41" spans="1:13" ht="40.049999999999997" customHeight="1">
      <c r="B41" s="50"/>
      <c r="C41" s="51"/>
      <c r="D41" s="51"/>
      <c r="E41" s="51"/>
      <c r="F41" s="51"/>
      <c r="J41" s="62"/>
      <c r="K41" s="63"/>
      <c r="L41" s="70"/>
      <c r="M41" s="63"/>
    </row>
    <row r="42" spans="1:13" ht="40.049999999999997" customHeight="1">
      <c r="B42" s="50"/>
      <c r="C42" s="51"/>
      <c r="D42" s="51"/>
      <c r="E42" s="51"/>
      <c r="F42" s="51"/>
      <c r="J42" s="62"/>
      <c r="K42" s="63"/>
      <c r="L42" s="70"/>
      <c r="M42" s="63"/>
    </row>
    <row r="43" spans="1:13" ht="40.049999999999997" customHeight="1">
      <c r="B43" s="50"/>
      <c r="C43" s="51"/>
      <c r="D43" s="51"/>
      <c r="E43" s="51"/>
      <c r="F43" s="51"/>
      <c r="J43" s="62"/>
      <c r="K43" s="63"/>
      <c r="L43" s="70"/>
      <c r="M43" s="63"/>
    </row>
    <row r="44" spans="1:13" ht="40.049999999999997" customHeight="1">
      <c r="B44" s="50"/>
      <c r="C44" s="51"/>
      <c r="D44" s="51"/>
      <c r="E44" s="51"/>
      <c r="F44" s="51"/>
    </row>
    <row r="45" spans="1:13" ht="40.049999999999997" customHeight="1"/>
    <row r="46" spans="1:13" ht="40.049999999999997" customHeight="1"/>
    <row r="47" spans="1:13" ht="40.049999999999997" customHeight="1"/>
  </sheetData>
  <mergeCells count="7">
    <mergeCell ref="L7:M8"/>
    <mergeCell ref="B22:F22"/>
    <mergeCell ref="H22:K22"/>
    <mergeCell ref="B38:F38"/>
    <mergeCell ref="D2:M3"/>
    <mergeCell ref="I6:K6"/>
    <mergeCell ref="C6:E6"/>
  </mergeCells>
  <conditionalFormatting sqref="B40:B44">
    <cfRule type="expression" dxfId="11" priority="4">
      <formula>AND(ISNUMBER(B40),B40&gt;0,B40&lt;TODAY())</formula>
    </cfRule>
  </conditionalFormatting>
  <conditionalFormatting sqref="C40:C44">
    <cfRule type="containsText" dxfId="10" priority="10" operator="containsText" text="Low">
      <formula>NOT(ISERROR(SEARCH("Low",C40)))</formula>
    </cfRule>
    <cfRule type="containsText" dxfId="9" priority="11" operator="containsText" text="Medium">
      <formula>NOT(ISERROR(SEARCH("Medium",C40)))</formula>
    </cfRule>
    <cfRule type="containsText" dxfId="8" priority="12" operator="containsText" text="High">
      <formula>NOT(ISERROR(SEARCH("High",C40)))</formula>
    </cfRule>
  </conditionalFormatting>
  <conditionalFormatting sqref="F40:F44">
    <cfRule type="containsText" dxfId="7" priority="5" operator="containsText" text="Resolved">
      <formula>NOT(ISERROR(SEARCH("Resolved",F40)))</formula>
    </cfRule>
    <cfRule type="containsText" dxfId="6" priority="6" operator="containsText" text="Waiting Internal">
      <formula>NOT(ISERROR(SEARCH("Waiting Internal",F40)))</formula>
    </cfRule>
    <cfRule type="containsText" dxfId="5" priority="7" operator="containsText" text="Waiting Supplier">
      <formula>NOT(ISERROR(SEARCH("Waiting Supplier",F40)))</formula>
    </cfRule>
    <cfRule type="containsText" dxfId="4" priority="8" operator="containsText" text="Waiting Customer">
      <formula>NOT(ISERROR(SEARCH("Waiting Customer",F40)))</formula>
    </cfRule>
    <cfRule type="containsText" dxfId="3" priority="9" operator="containsText" text="Open">
      <formula>NOT(ISERROR(SEARCH("Open",F40)))</formula>
    </cfRule>
  </conditionalFormatting>
  <conditionalFormatting sqref="L10">
    <cfRule type="expression" dxfId="2" priority="1">
      <formula>L10="CRITICAL"</formula>
    </cfRule>
    <cfRule type="expression" dxfId="1" priority="2">
      <formula>L10="AT RISK"</formula>
    </cfRule>
    <cfRule type="expression" dxfId="0" priority="3">
      <formula>L10="ON TRACK"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9951-0B50-46C5-BEA0-6CEEC43C4E5F}">
  <sheetPr codeName="Sheet2"/>
  <dimension ref="A2:J17"/>
  <sheetViews>
    <sheetView workbookViewId="0">
      <selection activeCell="B20" sqref="B20"/>
    </sheetView>
  </sheetViews>
  <sheetFormatPr defaultRowHeight="14.25"/>
  <cols>
    <col min="1" max="1" width="21.86328125" style="4" customWidth="1"/>
    <col min="2" max="2" width="53.86328125" customWidth="1"/>
    <col min="10" max="10" width="15.86328125" bestFit="1" customWidth="1"/>
  </cols>
  <sheetData>
    <row r="2" spans="1:10">
      <c r="A2" s="21" t="s">
        <v>63</v>
      </c>
      <c r="B2" s="22"/>
    </row>
    <row r="3" spans="1:10" ht="13.15" customHeight="1">
      <c r="A3" s="21" t="s">
        <v>59</v>
      </c>
      <c r="B3" s="22"/>
    </row>
    <row r="4" spans="1:10">
      <c r="A4" s="21" t="s">
        <v>62</v>
      </c>
      <c r="B4" s="22"/>
    </row>
    <row r="5" spans="1:10">
      <c r="A5" s="21" t="s">
        <v>107</v>
      </c>
      <c r="B5" s="22"/>
    </row>
    <row r="6" spans="1:10">
      <c r="A6" s="21" t="s">
        <v>60</v>
      </c>
      <c r="B6" s="22"/>
    </row>
    <row r="7" spans="1:10">
      <c r="A7" s="21" t="s">
        <v>64</v>
      </c>
      <c r="B7" s="23"/>
      <c r="J7" s="3"/>
    </row>
    <row r="8" spans="1:10">
      <c r="A8" s="24" t="s">
        <v>109</v>
      </c>
      <c r="B8" s="23"/>
      <c r="J8" s="3"/>
    </row>
    <row r="9" spans="1:10">
      <c r="A9" s="21" t="s">
        <v>61</v>
      </c>
      <c r="B9" s="20"/>
      <c r="J9" s="3"/>
    </row>
    <row r="10" spans="1:10">
      <c r="A10" s="21" t="s">
        <v>65</v>
      </c>
      <c r="B10" s="22"/>
    </row>
    <row r="11" spans="1:10">
      <c r="A11" s="21" t="s">
        <v>66</v>
      </c>
      <c r="B11" s="22"/>
    </row>
    <row r="12" spans="1:10">
      <c r="A12" s="25" t="s">
        <v>67</v>
      </c>
      <c r="B12" s="22"/>
    </row>
    <row r="13" spans="1:10">
      <c r="A13" s="24" t="s">
        <v>68</v>
      </c>
      <c r="B13" s="22"/>
    </row>
    <row r="14" spans="1:10" ht="15.4" customHeight="1">
      <c r="A14" s="41" t="s">
        <v>108</v>
      </c>
      <c r="B14" s="43"/>
    </row>
    <row r="15" spans="1:10" ht="15.4" customHeight="1">
      <c r="A15" s="42"/>
      <c r="B15" s="43"/>
    </row>
    <row r="16" spans="1:10" ht="15.4" customHeight="1">
      <c r="A16" s="42"/>
      <c r="B16" s="43"/>
    </row>
    <row r="17" spans="1:1">
      <c r="A17" s="16"/>
    </row>
  </sheetData>
  <mergeCells count="2">
    <mergeCell ref="A14:A16"/>
    <mergeCell ref="B14:B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3E40-1BCC-462D-B7D7-0CBCCE8D8C08}">
  <sheetPr codeName="Sheet3"/>
  <dimension ref="A1:U17"/>
  <sheetViews>
    <sheetView zoomScale="70" zoomScaleNormal="70" workbookViewId="0">
      <selection activeCell="U2" sqref="B2:U12"/>
    </sheetView>
  </sheetViews>
  <sheetFormatPr defaultRowHeight="14.25"/>
  <cols>
    <col min="2" max="2" width="13.73046875" customWidth="1"/>
    <col min="3" max="3" width="30.53125" customWidth="1"/>
    <col min="4" max="4" width="15.6640625" customWidth="1"/>
    <col min="8" max="8" width="14.06640625" customWidth="1"/>
    <col min="9" max="9" width="10.73046875" bestFit="1" customWidth="1"/>
    <col min="10" max="10" width="13.53125" bestFit="1" customWidth="1"/>
    <col min="11" max="11" width="16.33203125" customWidth="1"/>
    <col min="12" max="12" width="13.1328125" bestFit="1" customWidth="1"/>
    <col min="13" max="13" width="81.46484375" bestFit="1" customWidth="1"/>
    <col min="14" max="14" width="15" customWidth="1"/>
    <col min="15" max="15" width="15.6640625" bestFit="1" customWidth="1"/>
    <col min="16" max="16" width="9.53125" customWidth="1"/>
    <col min="17" max="17" width="15.3984375" bestFit="1" customWidth="1"/>
    <col min="18" max="18" width="20.796875" style="12" bestFit="1" customWidth="1"/>
    <col min="19" max="19" width="20.796875" bestFit="1" customWidth="1"/>
    <col min="20" max="20" width="13.53125" bestFit="1" customWidth="1"/>
    <col min="21" max="21" width="11.9296875" bestFit="1" customWidth="1"/>
    <col min="22" max="22" width="11.3984375" bestFit="1" customWidth="1"/>
    <col min="25" max="25" width="10.796875" bestFit="1" customWidth="1"/>
    <col min="26" max="26" width="13.3984375" customWidth="1"/>
    <col min="28" max="28" width="16" bestFit="1" customWidth="1"/>
    <col min="29" max="29" width="16.86328125" bestFit="1" customWidth="1"/>
    <col min="31" max="31" width="12.265625" bestFit="1" customWidth="1"/>
    <col min="32" max="32" width="12.265625" customWidth="1"/>
    <col min="33" max="33" width="19.59765625" bestFit="1" customWidth="1"/>
    <col min="34" max="34" width="12.265625" bestFit="1" customWidth="1"/>
    <col min="35" max="35" width="16.265625" bestFit="1" customWidth="1"/>
    <col min="36" max="36" width="11.6640625" bestFit="1" customWidth="1"/>
    <col min="37" max="37" width="18.3984375" bestFit="1" customWidth="1"/>
    <col min="40" max="40" width="13.3984375" bestFit="1" customWidth="1"/>
    <col min="41" max="41" width="11.73046875" bestFit="1" customWidth="1"/>
    <col min="42" max="42" width="12.59765625" bestFit="1" customWidth="1"/>
  </cols>
  <sheetData>
    <row r="1" spans="1:21" s="1" customFormat="1">
      <c r="A1" s="1" t="s">
        <v>40</v>
      </c>
      <c r="B1" s="1" t="s">
        <v>41</v>
      </c>
      <c r="C1" s="1" t="s">
        <v>99</v>
      </c>
      <c r="D1" s="1" t="s">
        <v>4</v>
      </c>
      <c r="E1" s="1" t="s">
        <v>0</v>
      </c>
      <c r="F1" s="1" t="s">
        <v>10</v>
      </c>
      <c r="G1" s="1" t="s">
        <v>26</v>
      </c>
      <c r="H1" s="1" t="s">
        <v>17</v>
      </c>
      <c r="I1" s="1" t="s">
        <v>45</v>
      </c>
      <c r="J1" s="1" t="s">
        <v>46</v>
      </c>
      <c r="K1" s="1" t="s">
        <v>53</v>
      </c>
      <c r="L1" s="1" t="s">
        <v>47</v>
      </c>
      <c r="M1" s="1" t="s">
        <v>55</v>
      </c>
      <c r="N1" s="1" t="s">
        <v>44</v>
      </c>
      <c r="O1" s="1" t="s">
        <v>57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42</v>
      </c>
      <c r="U1" s="1" t="s">
        <v>54</v>
      </c>
    </row>
    <row r="2" spans="1:21" s="45" customFormat="1" ht="40.049999999999997" customHeight="1">
      <c r="A2" s="44" t="s">
        <v>116</v>
      </c>
      <c r="B2" s="44"/>
      <c r="C2" s="44"/>
      <c r="D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1" s="45" customFormat="1" ht="40.049999999999997" customHeight="1">
      <c r="A3" s="44" t="s">
        <v>118</v>
      </c>
      <c r="B3" s="44"/>
      <c r="C3" s="44"/>
      <c r="D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</row>
    <row r="4" spans="1:21" s="45" customFormat="1" ht="40.049999999999997" customHeight="1">
      <c r="A4" s="44" t="s">
        <v>119</v>
      </c>
      <c r="B4" s="44"/>
      <c r="C4" s="44"/>
      <c r="D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 s="45" customFormat="1" ht="40.049999999999997" customHeight="1">
      <c r="A5" s="44" t="s">
        <v>120</v>
      </c>
      <c r="B5" s="44"/>
      <c r="C5" s="44"/>
      <c r="D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</row>
    <row r="6" spans="1:21" s="45" customFormat="1" ht="40.049999999999997" customHeight="1">
      <c r="A6" s="44" t="s">
        <v>121</v>
      </c>
      <c r="B6" s="44"/>
      <c r="C6" s="44"/>
      <c r="D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spans="1:21" s="45" customFormat="1" ht="40.049999999999997" customHeight="1">
      <c r="A7" s="44" t="s">
        <v>122</v>
      </c>
      <c r="B7" s="44"/>
      <c r="C7" s="44"/>
      <c r="D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</row>
    <row r="8" spans="1:21" s="45" customFormat="1" ht="40.049999999999997" customHeight="1">
      <c r="A8" s="44" t="s">
        <v>123</v>
      </c>
      <c r="B8" s="44"/>
      <c r="C8" s="44"/>
      <c r="D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</row>
    <row r="9" spans="1:21" s="45" customFormat="1" ht="40.049999999999997" customHeight="1">
      <c r="A9" s="44" t="s">
        <v>124</v>
      </c>
      <c r="B9" s="44"/>
      <c r="C9" s="44"/>
      <c r="D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 s="45" customFormat="1" ht="40.049999999999997" customHeight="1">
      <c r="A10" s="44" t="s">
        <v>125</v>
      </c>
      <c r="B10" s="44"/>
      <c r="C10" s="44"/>
      <c r="D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 ht="40.049999999999997" customHeight="1">
      <c r="A11" s="44" t="s">
        <v>126</v>
      </c>
      <c r="B11" s="44"/>
      <c r="C11" s="44"/>
      <c r="D11" s="44"/>
      <c r="E11" s="45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 ht="40.049999999999997" customHeight="1">
      <c r="A12" s="44" t="s">
        <v>127</v>
      </c>
      <c r="B12" s="44"/>
      <c r="C12" s="44"/>
      <c r="D12" s="44"/>
      <c r="E12" s="45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 ht="40.049999999999997" customHeight="1">
      <c r="A13" s="46" t="str" cm="1">
        <f t="array" ref="A13">"D-"&amp;TEXT(ROW()-ROW(tblDiscussions[#Headers]),"000")</f>
        <v>D-012</v>
      </c>
      <c r="B13" s="44"/>
      <c r="C13" s="44"/>
      <c r="D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7"/>
      <c r="R13" s="44"/>
      <c r="S13" s="44"/>
      <c r="T13" s="44"/>
      <c r="U13" s="44"/>
    </row>
    <row r="14" spans="1:21" ht="40.049999999999997" customHeight="1">
      <c r="A14" s="46" t="str" cm="1">
        <f t="array" ref="A14">"D-"&amp;TEXT(ROW()-ROW(tblDiscussions[#Headers]),"000")</f>
        <v>D-013</v>
      </c>
      <c r="B14" s="44"/>
      <c r="C14" s="44"/>
      <c r="D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7"/>
      <c r="R14" s="44"/>
      <c r="S14" s="44"/>
      <c r="T14" s="44"/>
      <c r="U14" s="44"/>
    </row>
    <row r="15" spans="1:21" ht="40.049999999999997" customHeight="1">
      <c r="A15" s="46" t="str" cm="1">
        <f t="array" ref="A15">"D-"&amp;TEXT(ROW()-ROW(tblDiscussions[#Headers]),"000")</f>
        <v>D-014</v>
      </c>
      <c r="B15" s="44"/>
      <c r="C15" s="44"/>
      <c r="D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7"/>
      <c r="R15" s="44"/>
      <c r="S15" s="44"/>
      <c r="T15" s="44"/>
      <c r="U15" s="44"/>
    </row>
    <row r="16" spans="1:21" ht="40.049999999999997" customHeight="1">
      <c r="A16" s="46" t="str" cm="1">
        <f t="array" ref="A16">"D-"&amp;TEXT(ROW()-ROW(tblDiscussions[#Headers]),"000")</f>
        <v>D-015</v>
      </c>
      <c r="B16" s="44"/>
      <c r="C16" s="44"/>
      <c r="D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7"/>
      <c r="R16" s="44"/>
      <c r="S16" s="44"/>
      <c r="T16" s="44"/>
      <c r="U16" s="44"/>
    </row>
    <row r="17" spans="1:21" ht="40.049999999999997" customHeight="1">
      <c r="A17" s="46" t="str" cm="1">
        <f t="array" ref="A17">"D-"&amp;TEXT(ROW()-ROW(tblDiscussions[#Headers]),"000")</f>
        <v>D-016</v>
      </c>
      <c r="B17" s="44"/>
      <c r="C17" s="44"/>
      <c r="D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7"/>
      <c r="R17" s="44"/>
      <c r="S17" s="44"/>
      <c r="T17" s="44"/>
      <c r="U17" s="44"/>
    </row>
  </sheetData>
  <phoneticPr fontId="20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19C94F5-F461-4540-B27C-B5AD7E69B91B}">
          <x14:formula1>
            <xm:f>Lists!$G$2:$G$13</xm:f>
          </x14:formula1>
          <xm:sqref>J1:K1</xm:sqref>
        </x14:dataValidation>
        <x14:dataValidation type="list" allowBlank="1" showInputMessage="1" showErrorMessage="1" xr:uid="{25ED2710-26FC-4052-8D12-EC1804D7FBAE}">
          <x14:formula1>
            <xm:f>Lists!$I$2:$I$8</xm:f>
          </x14:formula1>
          <xm:sqref>Z6:Z1048576 V3:V5</xm:sqref>
        </x14:dataValidation>
        <x14:dataValidation type="list" allowBlank="1" showInputMessage="1" showErrorMessage="1" xr:uid="{9E5CDF58-F09C-4154-A927-F60FDEA207AA}">
          <x14:formula1>
            <xm:f>Lists!$K$2:$K$7</xm:f>
          </x14:formula1>
          <xm:sqref>AL6:AL1048576 AH3:AH5</xm:sqref>
        </x14:dataValidation>
        <x14:dataValidation type="list" allowBlank="1" showInputMessage="1" showErrorMessage="1" xr:uid="{6ED375C2-4B92-4029-B697-5115C62A019E}">
          <x14:formula1>
            <xm:f>Lists!$E$2:$E$10</xm:f>
          </x14:formula1>
          <xm:sqref>G18:G1048576 F13:F17</xm:sqref>
        </x14:dataValidation>
        <x14:dataValidation type="list" allowBlank="1" showInputMessage="1" showErrorMessage="1" xr:uid="{9309445F-56C1-4AB6-84CF-9EE2BDF7C77D}">
          <x14:formula1>
            <xm:f>Lists!$G$2:$G$14</xm:f>
          </x14:formula1>
          <xm:sqref>I18:I1048576 H13:H1048576</xm:sqref>
        </x14:dataValidation>
        <x14:dataValidation type="list" allowBlank="1" showInputMessage="1" showErrorMessage="1" xr:uid="{197E096D-9552-4BB5-BC04-7F911E547E67}">
          <x14:formula1>
            <xm:f>Lists!$I$2:$I$11</xm:f>
          </x14:formula1>
          <xm:sqref>G13:G17</xm:sqref>
        </x14:dataValidation>
        <x14:dataValidation type="list" allowBlank="1" showInputMessage="1" showErrorMessage="1" xr:uid="{CD580CBE-D7AC-485A-A994-BC853FBED0EA}">
          <x14:formula1>
            <xm:f>Lists!$A$2:$A$4</xm:f>
          </x14:formula1>
          <xm:sqref>E2:E1048576</xm:sqref>
        </x14:dataValidation>
        <x14:dataValidation type="list" allowBlank="1" showInputMessage="1" showErrorMessage="1" xr:uid="{E3C52A5A-6AFC-4FA6-8345-D0196F8520F3}">
          <x14:formula1>
            <xm:f>Lists!$C$2:$C$7</xm:f>
          </x14:formula1>
          <xm:sqref>D13:D1048576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29CF-D9A5-4C31-B4DB-1AE0732DB453}">
  <sheetPr codeName="Sheet4"/>
  <dimension ref="A1:K12"/>
  <sheetViews>
    <sheetView workbookViewId="0">
      <pane ySplit="1" topLeftCell="A4" activePane="bottomLeft" state="frozen"/>
      <selection pane="bottomLeft" activeCell="J2" sqref="B2:J12"/>
    </sheetView>
  </sheetViews>
  <sheetFormatPr defaultRowHeight="14.25"/>
  <cols>
    <col min="1" max="1" width="10.06640625" customWidth="1"/>
    <col min="2" max="2" width="14.06640625" bestFit="1" customWidth="1"/>
    <col min="3" max="3" width="33" customWidth="1"/>
    <col min="4" max="4" width="20.46484375" bestFit="1" customWidth="1"/>
    <col min="5" max="5" width="24.53125" customWidth="1"/>
    <col min="7" max="7" width="16.86328125" customWidth="1"/>
    <col min="8" max="8" width="10.1328125" style="12" customWidth="1"/>
    <col min="9" max="9" width="22.6640625" customWidth="1"/>
    <col min="10" max="10" width="16.33203125" customWidth="1"/>
    <col min="11" max="11" width="21.53125" customWidth="1"/>
  </cols>
  <sheetData>
    <row r="1" spans="1:11">
      <c r="A1" t="s">
        <v>69</v>
      </c>
      <c r="B1" t="s">
        <v>41</v>
      </c>
      <c r="C1" t="s">
        <v>70</v>
      </c>
      <c r="D1" t="s">
        <v>73</v>
      </c>
      <c r="E1" t="s">
        <v>17</v>
      </c>
      <c r="F1" t="s">
        <v>71</v>
      </c>
      <c r="G1" t="s">
        <v>48</v>
      </c>
      <c r="H1" t="s">
        <v>4</v>
      </c>
      <c r="I1" t="s">
        <v>72</v>
      </c>
      <c r="J1" t="s">
        <v>51</v>
      </c>
    </row>
    <row r="2" spans="1:11">
      <c r="A2" s="44" t="s">
        <v>128</v>
      </c>
      <c r="B2" s="48"/>
      <c r="C2" s="44"/>
      <c r="D2" s="44"/>
      <c r="E2" s="44"/>
      <c r="F2" s="44"/>
      <c r="G2" s="48"/>
      <c r="H2" s="44"/>
      <c r="I2" s="48"/>
      <c r="J2" s="44"/>
      <c r="K2" s="44"/>
    </row>
    <row r="3" spans="1:11">
      <c r="A3" s="44" t="s">
        <v>129</v>
      </c>
      <c r="B3" s="48"/>
      <c r="C3" s="44"/>
      <c r="D3" s="44"/>
      <c r="E3" s="44"/>
      <c r="F3" s="44"/>
      <c r="G3" s="48"/>
      <c r="H3" s="44"/>
      <c r="I3" s="48"/>
      <c r="J3" s="44"/>
      <c r="K3" s="44"/>
    </row>
    <row r="4" spans="1:11">
      <c r="A4" s="44" t="s">
        <v>130</v>
      </c>
      <c r="B4" s="48"/>
      <c r="C4" s="44"/>
      <c r="D4" s="44"/>
      <c r="E4" s="44"/>
      <c r="F4" s="44"/>
      <c r="G4" s="48"/>
      <c r="H4" s="44"/>
      <c r="I4" s="48"/>
      <c r="J4" s="44"/>
      <c r="K4" s="44"/>
    </row>
    <row r="5" spans="1:11">
      <c r="A5" s="44" t="s">
        <v>131</v>
      </c>
      <c r="B5" s="48"/>
      <c r="C5" s="44"/>
      <c r="D5" s="44"/>
      <c r="E5" s="44"/>
      <c r="F5" s="44"/>
      <c r="G5" s="48"/>
      <c r="H5" s="44"/>
      <c r="I5" s="44"/>
      <c r="J5" s="44"/>
      <c r="K5" s="44"/>
    </row>
    <row r="6" spans="1:11">
      <c r="A6" s="44" t="s">
        <v>132</v>
      </c>
      <c r="B6" s="48"/>
      <c r="C6" s="44"/>
      <c r="D6" s="44"/>
      <c r="E6" s="44"/>
      <c r="F6" s="44"/>
      <c r="G6" s="48"/>
      <c r="H6" s="44"/>
      <c r="I6" s="44"/>
      <c r="J6" s="44"/>
      <c r="K6" s="44"/>
    </row>
    <row r="7" spans="1:11">
      <c r="A7" s="44" t="s">
        <v>133</v>
      </c>
      <c r="B7" s="48"/>
      <c r="C7" s="44"/>
      <c r="D7" s="44"/>
      <c r="E7" s="44"/>
      <c r="F7" s="44"/>
      <c r="G7" s="48"/>
      <c r="H7" s="44"/>
      <c r="I7" s="44"/>
      <c r="J7" s="44"/>
      <c r="K7" s="44"/>
    </row>
    <row r="8" spans="1:11">
      <c r="A8" s="44" t="s">
        <v>134</v>
      </c>
      <c r="B8" s="48"/>
      <c r="C8" s="44"/>
      <c r="D8" s="44"/>
      <c r="E8" s="44"/>
      <c r="F8" s="44"/>
      <c r="G8" s="48"/>
      <c r="H8" s="44"/>
      <c r="I8" s="48"/>
      <c r="J8" s="44"/>
      <c r="K8" s="44"/>
    </row>
    <row r="9" spans="1:11">
      <c r="A9" s="44" t="s">
        <v>135</v>
      </c>
      <c r="B9" s="48"/>
      <c r="C9" s="44"/>
      <c r="D9" s="44"/>
      <c r="E9" s="44"/>
      <c r="F9" s="44"/>
      <c r="G9" s="48"/>
      <c r="H9" s="44"/>
      <c r="I9" s="44"/>
      <c r="J9" s="44"/>
      <c r="K9" s="44"/>
    </row>
    <row r="10" spans="1:11">
      <c r="A10" s="44" t="s">
        <v>136</v>
      </c>
      <c r="B10" s="48"/>
      <c r="C10" s="44"/>
      <c r="D10" s="44"/>
      <c r="E10" s="44"/>
      <c r="F10" s="44"/>
      <c r="G10" s="48"/>
      <c r="H10" s="44"/>
      <c r="I10" s="48"/>
      <c r="J10" s="44"/>
      <c r="K10" s="44"/>
    </row>
    <row r="11" spans="1:11">
      <c r="A11" s="44" t="s">
        <v>137</v>
      </c>
      <c r="B11" s="48"/>
      <c r="C11" s="44"/>
      <c r="D11" s="44"/>
      <c r="E11" s="44"/>
      <c r="F11" s="44"/>
      <c r="G11" s="44"/>
      <c r="H11" s="44"/>
      <c r="I11" s="44"/>
      <c r="J11" s="44"/>
      <c r="K11" s="44"/>
    </row>
    <row r="12" spans="1:11">
      <c r="A12" s="44" t="s">
        <v>138</v>
      </c>
      <c r="B12" s="48"/>
      <c r="C12" s="44"/>
      <c r="D12" s="44"/>
      <c r="E12" s="44"/>
      <c r="F12" s="44"/>
      <c r="G12" s="44"/>
      <c r="H12" s="44"/>
      <c r="I12" s="44"/>
      <c r="J12" s="4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34AC65C-C005-4DAD-9258-D998F342C8BE}">
          <x14:formula1>
            <xm:f>Lists!$G$2:$G$14</xm:f>
          </x14:formula1>
          <xm:sqref>E13:E1048576</xm:sqref>
        </x14:dataValidation>
        <x14:dataValidation type="list" allowBlank="1" showInputMessage="1" showErrorMessage="1" xr:uid="{4DCEBCB2-F10E-4640-B21A-49ED82B62B52}">
          <x14:formula1>
            <xm:f>Lists!$M$2:$M$7</xm:f>
          </x14:formula1>
          <xm:sqref>I13:I1048576 H2:H12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5BCC-C41F-4350-BC2B-4F984BA8C57F}">
  <sheetPr codeName="Sheet5"/>
  <dimension ref="A1:G9"/>
  <sheetViews>
    <sheetView workbookViewId="0">
      <pane ySplit="1" topLeftCell="A2" activePane="bottomLeft" state="frozen"/>
      <selection pane="bottomLeft" activeCell="G2" sqref="B2:G9"/>
    </sheetView>
  </sheetViews>
  <sheetFormatPr defaultRowHeight="14.25"/>
  <cols>
    <col min="1" max="1" width="11.59765625" customWidth="1"/>
    <col min="2" max="2" width="13.6640625" style="9" customWidth="1"/>
    <col min="3" max="3" width="13.796875" customWidth="1"/>
    <col min="4" max="4" width="12.1328125" customWidth="1"/>
    <col min="5" max="5" width="27.06640625" customWidth="1"/>
    <col min="6" max="6" width="19.73046875" customWidth="1"/>
    <col min="7" max="7" width="11.3984375" customWidth="1"/>
  </cols>
  <sheetData>
    <row r="1" spans="1:7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115</v>
      </c>
      <c r="G1" t="s">
        <v>51</v>
      </c>
    </row>
    <row r="2" spans="1:7">
      <c r="A2" s="53" t="s">
        <v>117</v>
      </c>
      <c r="B2" s="53"/>
      <c r="C2" s="53"/>
      <c r="D2" s="53"/>
      <c r="E2" s="44"/>
      <c r="F2" s="53"/>
      <c r="G2" s="53"/>
    </row>
    <row r="3" spans="1:7">
      <c r="A3" s="53"/>
      <c r="B3" s="53"/>
      <c r="C3" s="53"/>
      <c r="D3" s="53"/>
      <c r="E3" s="44"/>
      <c r="F3" s="53"/>
      <c r="G3" s="53"/>
    </row>
    <row r="4" spans="1:7">
      <c r="A4" s="53"/>
      <c r="B4" s="53"/>
      <c r="C4" s="53"/>
      <c r="D4" s="53"/>
      <c r="E4" s="44"/>
      <c r="F4" s="53"/>
      <c r="G4" s="53"/>
    </row>
    <row r="5" spans="1:7">
      <c r="A5" s="53"/>
      <c r="B5" s="53"/>
      <c r="C5" s="53"/>
      <c r="D5" s="53"/>
      <c r="E5" s="44"/>
      <c r="F5" s="53"/>
      <c r="G5" s="53"/>
    </row>
    <row r="6" spans="1:7">
      <c r="A6" s="53"/>
      <c r="B6" s="53"/>
      <c r="C6" s="53"/>
      <c r="D6" s="53"/>
      <c r="E6" s="44"/>
      <c r="F6" s="53"/>
      <c r="G6" s="53"/>
    </row>
    <row r="7" spans="1:7">
      <c r="A7" s="53"/>
      <c r="B7" s="53"/>
      <c r="C7" s="53"/>
      <c r="D7" s="53"/>
      <c r="E7" s="44"/>
      <c r="F7" s="53"/>
      <c r="G7" s="53"/>
    </row>
    <row r="8" spans="1:7">
      <c r="A8" s="53"/>
      <c r="B8" s="53"/>
      <c r="C8" s="53"/>
      <c r="D8" s="53"/>
      <c r="E8" s="44"/>
      <c r="F8" s="53"/>
      <c r="G8" s="53"/>
    </row>
    <row r="9" spans="1:7">
      <c r="A9" s="53"/>
      <c r="B9" s="53"/>
      <c r="C9" s="53"/>
      <c r="D9" s="53"/>
      <c r="E9" s="44"/>
      <c r="F9" s="53"/>
      <c r="G9" s="53"/>
    </row>
  </sheetData>
  <mergeCells count="6">
    <mergeCell ref="A2:A9"/>
    <mergeCell ref="B2:B9"/>
    <mergeCell ref="C2:C9"/>
    <mergeCell ref="D2:D9"/>
    <mergeCell ref="F2:F9"/>
    <mergeCell ref="G2:G9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F5C6E1-FBAF-44A6-A654-B3B2B68E3410}">
          <x14:formula1>
            <xm:f>Lists!$O$2:$O$8</xm:f>
          </x14:formula1>
          <xm:sqref>C10:C1048576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BD94-3693-435F-8751-AA00F08A34EA}">
  <sheetPr codeName="Sheet6"/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7FB7D-C16E-4A9D-AB63-71FA60B53787}">
  <sheetPr codeName="Sheet7"/>
  <dimension ref="A1:O14"/>
  <sheetViews>
    <sheetView workbookViewId="0">
      <selection activeCell="I10" sqref="I10"/>
    </sheetView>
  </sheetViews>
  <sheetFormatPr defaultRowHeight="14.25"/>
  <cols>
    <col min="3" max="3" width="15" bestFit="1" customWidth="1"/>
    <col min="5" max="5" width="15.73046875" bestFit="1" customWidth="1"/>
    <col min="7" max="7" width="22.46484375" bestFit="1" customWidth="1"/>
    <col min="13" max="13" width="14.73046875" bestFit="1" customWidth="1"/>
    <col min="15" max="15" width="11.53125" bestFit="1" customWidth="1"/>
  </cols>
  <sheetData>
    <row r="1" spans="1:15">
      <c r="A1" t="s">
        <v>0</v>
      </c>
      <c r="C1" t="s">
        <v>4</v>
      </c>
      <c r="E1" t="s">
        <v>10</v>
      </c>
      <c r="G1" t="s">
        <v>17</v>
      </c>
      <c r="I1" t="s">
        <v>26</v>
      </c>
      <c r="K1" t="s">
        <v>34</v>
      </c>
      <c r="M1" t="s">
        <v>74</v>
      </c>
      <c r="O1" t="s">
        <v>79</v>
      </c>
    </row>
    <row r="2" spans="1:15">
      <c r="A2" t="s">
        <v>1</v>
      </c>
      <c r="C2" t="s">
        <v>5</v>
      </c>
      <c r="E2" t="s">
        <v>11</v>
      </c>
      <c r="G2" t="s">
        <v>38</v>
      </c>
      <c r="I2" t="s">
        <v>27</v>
      </c>
      <c r="K2" t="s">
        <v>35</v>
      </c>
      <c r="M2" t="s">
        <v>5</v>
      </c>
      <c r="O2" t="s">
        <v>43</v>
      </c>
    </row>
    <row r="3" spans="1:15">
      <c r="A3" t="s">
        <v>2</v>
      </c>
      <c r="C3" t="s">
        <v>6</v>
      </c>
      <c r="E3" t="s">
        <v>86</v>
      </c>
      <c r="G3" t="s">
        <v>14</v>
      </c>
      <c r="I3" t="s">
        <v>28</v>
      </c>
      <c r="K3" t="s">
        <v>36</v>
      </c>
      <c r="M3" t="s">
        <v>7</v>
      </c>
      <c r="O3" t="s">
        <v>44</v>
      </c>
    </row>
    <row r="4" spans="1:15">
      <c r="A4" t="s">
        <v>3</v>
      </c>
      <c r="C4" t="s">
        <v>7</v>
      </c>
      <c r="E4" t="s">
        <v>13</v>
      </c>
      <c r="G4" t="s">
        <v>18</v>
      </c>
      <c r="I4" t="s">
        <v>29</v>
      </c>
      <c r="K4" t="s">
        <v>22</v>
      </c>
      <c r="M4" t="s">
        <v>6</v>
      </c>
      <c r="O4" t="s">
        <v>82</v>
      </c>
    </row>
    <row r="5" spans="1:15">
      <c r="C5" t="s">
        <v>8</v>
      </c>
      <c r="E5" t="s">
        <v>12</v>
      </c>
      <c r="G5" t="s">
        <v>19</v>
      </c>
      <c r="I5" t="s">
        <v>30</v>
      </c>
      <c r="K5" t="s">
        <v>37</v>
      </c>
      <c r="M5" t="s">
        <v>8</v>
      </c>
      <c r="O5" t="s">
        <v>83</v>
      </c>
    </row>
    <row r="6" spans="1:15">
      <c r="C6" t="s">
        <v>56</v>
      </c>
      <c r="E6" t="s">
        <v>14</v>
      </c>
      <c r="G6" t="s">
        <v>20</v>
      </c>
      <c r="I6" t="s">
        <v>31</v>
      </c>
      <c r="K6" t="s">
        <v>38</v>
      </c>
      <c r="M6" t="s">
        <v>75</v>
      </c>
      <c r="O6" t="s">
        <v>84</v>
      </c>
    </row>
    <row r="7" spans="1:15">
      <c r="C7" t="s">
        <v>9</v>
      </c>
      <c r="E7" t="s">
        <v>15</v>
      </c>
      <c r="G7" t="s">
        <v>32</v>
      </c>
      <c r="I7" t="s">
        <v>32</v>
      </c>
      <c r="K7" t="s">
        <v>39</v>
      </c>
      <c r="M7" t="s">
        <v>76</v>
      </c>
      <c r="O7" t="s">
        <v>92</v>
      </c>
    </row>
    <row r="8" spans="1:15">
      <c r="E8" t="s">
        <v>16</v>
      </c>
      <c r="G8" t="s">
        <v>22</v>
      </c>
      <c r="I8" t="s">
        <v>33</v>
      </c>
      <c r="O8" t="s">
        <v>93</v>
      </c>
    </row>
    <row r="9" spans="1:15">
      <c r="E9" t="s">
        <v>75</v>
      </c>
      <c r="G9" t="s">
        <v>88</v>
      </c>
      <c r="I9" t="s">
        <v>90</v>
      </c>
    </row>
    <row r="10" spans="1:15">
      <c r="E10" t="s">
        <v>87</v>
      </c>
      <c r="G10" t="s">
        <v>25</v>
      </c>
      <c r="I10" t="s">
        <v>91</v>
      </c>
    </row>
    <row r="11" spans="1:15">
      <c r="G11" t="s">
        <v>24</v>
      </c>
      <c r="I11" t="s">
        <v>89</v>
      </c>
    </row>
    <row r="12" spans="1:15">
      <c r="G12" t="s">
        <v>21</v>
      </c>
    </row>
    <row r="13" spans="1:15">
      <c r="G13" t="s">
        <v>23</v>
      </c>
    </row>
    <row r="14" spans="1:15">
      <c r="G14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8D88-0671-428B-9447-C450FC5F6C77}">
  <sheetPr codeName="Sheet8"/>
  <dimension ref="A1:Z14"/>
  <sheetViews>
    <sheetView topLeftCell="C1" workbookViewId="0">
      <selection activeCell="F13" sqref="F13"/>
    </sheetView>
  </sheetViews>
  <sheetFormatPr defaultRowHeight="14.25"/>
  <cols>
    <col min="1" max="1" width="20.46484375" customWidth="1"/>
    <col min="2" max="2" width="27.53125" customWidth="1"/>
    <col min="7" max="7" width="12.9296875" customWidth="1"/>
    <col min="8" max="8" width="15.796875" bestFit="1" customWidth="1"/>
    <col min="16" max="16" width="16.1328125" customWidth="1"/>
    <col min="18" max="18" width="10.33203125" bestFit="1" customWidth="1"/>
    <col min="25" max="25" width="22.46484375" bestFit="1" customWidth="1"/>
  </cols>
  <sheetData>
    <row r="1" spans="1:26">
      <c r="A1" s="2" t="s">
        <v>94</v>
      </c>
      <c r="B1" s="2"/>
      <c r="D1" t="s">
        <v>0</v>
      </c>
      <c r="E1" t="s">
        <v>71</v>
      </c>
      <c r="F1" t="s">
        <v>99</v>
      </c>
      <c r="G1" t="s">
        <v>4</v>
      </c>
      <c r="H1" t="s">
        <v>17</v>
      </c>
      <c r="J1" t="s">
        <v>48</v>
      </c>
      <c r="K1" t="s">
        <v>71</v>
      </c>
      <c r="L1" t="s">
        <v>70</v>
      </c>
      <c r="M1" t="s">
        <v>4</v>
      </c>
      <c r="P1" t="s">
        <v>48</v>
      </c>
      <c r="Q1" t="s">
        <v>17</v>
      </c>
      <c r="R1" t="s">
        <v>103</v>
      </c>
      <c r="S1" t="s">
        <v>104</v>
      </c>
      <c r="V1" t="s">
        <v>85</v>
      </c>
      <c r="Y1" t="s">
        <v>17</v>
      </c>
      <c r="Z1" t="s">
        <v>111</v>
      </c>
    </row>
    <row r="2" spans="1:26">
      <c r="A2" s="2" t="s">
        <v>95</v>
      </c>
      <c r="B2" s="2">
        <f>COUNTIFS(
tblDiscussions[Status],"&lt;&gt;",
tblDiscussions[Status],"&lt;&gt;Closed"
)</f>
        <v>0</v>
      </c>
      <c r="D2" s="12" t="str" cm="1">
        <f t="array" ref="D2">IFERROR(
_xlfn.TAKE(
_xlfn.SORTBY(
_xlfn._xlws.FILTER(
_xlfn.HSTACK(
tblDiscussions[Priority]&amp;"",
tblDiscussions[Current Owner]&amp;"",
tblDiscussions[Issue]&amp;"",
tblDiscussions[Status]&amp;"",
tblDiscussions[Category]&amp;""
),
(tblDiscussions[Status]&lt;&gt;"")*
(tblDiscussions[Status]&lt;&gt;"Resolved")*
(tblDiscussions[Status]&lt;&gt;"Closed")
),
_xlfn.SWITCH(
INDEX(
_xlfn._xlws.FILTER(tblDiscussions[Priority],
(tblDiscussions[Status]&lt;&gt;"")*
(tblDiscussions[Status]&lt;&gt;"Resolved")*
(tblDiscussions[Status]&lt;&gt;"Closed")
),
0),
"High",3,
"Medium",2,
"Low",1,
0
),
-1
),
5
),
""
)</f>
        <v/>
      </c>
      <c r="J2" s="15" t="str" cm="1">
        <f t="array" ref="J2">IFERROR(
_xlfn.LET(
_xlpm.Data,
_xlfn._xlws.FILTER(
_xlfn.HSTACK(
tblActions[Due Date],
tblActions[Owner]&amp;"",
tblActions[Action]&amp;"",
tblActions[Status]&amp;""
),
(tblActions[Action]&lt;&gt;"")*
(tblActions[Status]&lt;&gt;"")*
(tblActions[Status]&lt;&gt;"Completed")*
(tblActions[Status]&lt;&gt;"Cancelled")
),
_xlpm.Sorted,
_xlfn.SORTBY(
_xlpm.Data,
IF(INDEX(_xlpm.Data,,1)="",DATE(9999,12,31),INDEX(_xlpm.Data,,1)),
1
),
_xlfn.TAKE(_xlpm.Sorted,10)
),
""
)</f>
        <v/>
      </c>
      <c r="P2" s="12" t="str" cm="1">
        <f t="array" ref="P2:S2">IFERROR(
_xlfn._xlws.SORT(
_xlfn._xlws.FILTER(
_xlfn.HSTACK(
tblActions[Due Date],
tblActions[Category]&amp;"",
tblActions[Action]&amp;"",
tblActions[Owner]&amp;""
),
(tblActions[Action]&lt;&gt;"")*
(tblActions[Status]&lt;&gt;"")*
(tblActions[Status]&lt;&gt;"Completed")*
(tblActions[Status]&lt;&gt;"Cancelled")*
(tblActions[Due Date]&lt;&gt;"")
),
1,1
),
{"","","",""}
)</f>
        <v/>
      </c>
      <c r="Q2" t="str">
        <v/>
      </c>
      <c r="R2" t="str">
        <v/>
      </c>
      <c r="S2" t="str">
        <v/>
      </c>
      <c r="V2" t="s">
        <v>1</v>
      </c>
      <c r="W2">
        <f>COUNTIFS(tblDiscussions[Priority],"High",tblDiscussions[Status],"&lt;&gt;Closed")</f>
        <v>0</v>
      </c>
      <c r="Y2" t="str">
        <f>Lists!G2</f>
        <v>Documentation</v>
      </c>
      <c r="Z2">
        <f>COUNTIFS(
tblDiscussions[Category],Y2,
tblDiscussions[Status],"&lt;&gt;",
tblDiscussions[Status],"&lt;&gt;Closed"
)</f>
        <v>0</v>
      </c>
    </row>
    <row r="3" spans="1:26">
      <c r="A3" s="2" t="s">
        <v>96</v>
      </c>
      <c r="B3" s="2">
        <f>COUNTIFS(
tblActions[Action],"&lt;&gt;",
tblActions[Status],"&lt;&gt;",
tblActions[Status],"&lt;&gt;Completed",
tblActions[Status],"&lt;&gt;Cancelled"
)</f>
        <v>0</v>
      </c>
      <c r="D3" s="12"/>
      <c r="J3" s="12"/>
      <c r="P3" s="12"/>
      <c r="V3" t="s">
        <v>2</v>
      </c>
      <c r="W3">
        <f>COUNTIFS(tblDiscussions[Priority],"Medium",tblDiscussions[Status],"&lt;&gt;Closed")</f>
        <v>0</v>
      </c>
      <c r="Y3" t="str">
        <f>Lists!G3</f>
        <v>Manufacturing</v>
      </c>
      <c r="Z3">
        <f>COUNTIFS(
tblDiscussions[Category],Y3,
tblDiscussions[Status],"&lt;&gt;",
tblDiscussions[Status],"&lt;&gt;Closed"
)</f>
        <v>0</v>
      </c>
    </row>
    <row r="4" spans="1:26">
      <c r="A4" s="2" t="s">
        <v>98</v>
      </c>
      <c r="B4" s="10" t="str">
        <f ca="1">_xlfn.LET(
_xlpm.LastMeeting,_xlfn.MAXIFS(tblMeetings[Meeting Date],tblMeetings[Meeting Date],"&lt;="&amp;TODAY()),
IF(_xlpm.LastMeeting=0,"",_xlpm.LastMeeting)
)</f>
        <v/>
      </c>
      <c r="D4" s="12"/>
      <c r="J4" s="12"/>
      <c r="P4" s="12"/>
      <c r="V4" t="s">
        <v>3</v>
      </c>
      <c r="W4">
        <f>COUNTIFS(tblDiscussions[Priority],"Low",tblDiscussions[Status],"&lt;&gt;Closed")</f>
        <v>0</v>
      </c>
      <c r="Y4" t="str">
        <f>Lists!G4</f>
        <v>Material</v>
      </c>
      <c r="Z4">
        <f>COUNTIFS(
tblDiscussions[Category],Y4,
tblDiscussions[Status],"&lt;&gt;",
tblDiscussions[Status],"&lt;&gt;Closed"
)</f>
        <v>0</v>
      </c>
    </row>
    <row r="5" spans="1:26">
      <c r="A5" s="2" t="s">
        <v>97</v>
      </c>
      <c r="B5" s="26" t="str">
        <f ca="1">IF('Project Info'!B9="","",'Project Info'!B9-TODAY())</f>
        <v/>
      </c>
      <c r="D5" s="12"/>
      <c r="J5" s="12"/>
      <c r="P5" s="12"/>
      <c r="Y5" t="str">
        <f>Lists!G5</f>
        <v>Tolerance</v>
      </c>
      <c r="Z5">
        <f>COUNTIFS(
tblDiscussions[Category],Y5,
tblDiscussions[Status],"&lt;&gt;",
tblDiscussions[Status],"&lt;&gt;Closed"
)</f>
        <v>0</v>
      </c>
    </row>
    <row r="6" spans="1:26">
      <c r="D6" s="12"/>
      <c r="J6" s="12"/>
      <c r="P6" s="12"/>
      <c r="Y6" t="str">
        <f>Lists!G6</f>
        <v>Surface Finish</v>
      </c>
      <c r="Z6">
        <f>COUNTIFS(
tblDiscussions[Category],Y6,
tblDiscussions[Status],"&lt;&gt;",
tblDiscussions[Status],"&lt;&gt;Closed"
)</f>
        <v>0</v>
      </c>
    </row>
    <row r="7" spans="1:26">
      <c r="A7" s="8" t="s">
        <v>105</v>
      </c>
      <c r="B7" t="e">
        <f ca="1">COUNTIFS(
tblDiscussions[Issue],"&lt;&gt;",
#REF!,"&lt;"&amp;TODAY(),
tblDiscussions[Status],"&lt;&gt;",
tblDiscussions[Status],"&lt;&gt;Closed"
)
+
COUNTIFS(
tblActions[Action],"&lt;&gt;",
tblActions[Due Date],"&lt;"&amp;TODAY(),
tblActions[Status],"&lt;&gt;",
tblActions[Status],"&lt;&gt;Completed",
tblActions[Status],"&lt;&gt;Cancelled"
)</f>
        <v>#REF!</v>
      </c>
      <c r="D7" s="12"/>
      <c r="J7" s="12"/>
      <c r="Y7" t="str">
        <f>Lists!G7</f>
        <v>Assembly</v>
      </c>
      <c r="Z7">
        <f>COUNTIFS(
tblDiscussions[Category],Y7,
tblDiscussions[Status],"&lt;&gt;",
tblDiscussions[Status],"&lt;&gt;Closed"
)</f>
        <v>0</v>
      </c>
    </row>
    <row r="8" spans="1:26">
      <c r="A8" s="8" t="s">
        <v>58</v>
      </c>
      <c r="B8" t="e" cm="1">
        <f t="array" aca="1" ref="B8" ca="1">_xlfn.IFS(
B7=0,"On Track",
B7&lt;=2,"At Risk",
TRUE,"Critical"
)</f>
        <v>#REF!</v>
      </c>
      <c r="D8" s="12"/>
      <c r="Y8" t="str">
        <f>Lists!G8</f>
        <v>Quality</v>
      </c>
      <c r="Z8">
        <f>COUNTIFS(
tblDiscussions[Category],Y8,
tblDiscussions[Status],"&lt;&gt;",
tblDiscussions[Status],"&lt;&gt;Closed"
)</f>
        <v>0</v>
      </c>
    </row>
    <row r="9" spans="1:26">
      <c r="Y9" t="str">
        <f>Lists!G9</f>
        <v>Supplier Capability</v>
      </c>
      <c r="Z9">
        <f>COUNTIFS(
tblDiscussions[Category],Y9,
tblDiscussions[Status],"&lt;&gt;",
tblDiscussions[Status],"&lt;&gt;Closed"
)</f>
        <v>0</v>
      </c>
    </row>
    <row r="10" spans="1:26">
      <c r="A10" s="8" t="s">
        <v>110</v>
      </c>
      <c r="B10" s="12" t="str">
        <f>_xlfn.LET(
_xlpm.Meeting,IFERROR(MAX(tblMeetings[Meeting Date]),0),
_xlpm.Discussion,IFERROR(MAX(tblDiscussions[Date Opened]),0),
_xlpm.Action,IFERROR(MAX(tblActions[Date Opened]),0),
_xlpm.Latest,MAX(_xlpm.Meeting,_xlpm.Discussion,_xlpm.Action),
IF(_xlpm.Latest=0,"",_xlpm.Latest)
)</f>
        <v/>
      </c>
      <c r="Y10" t="str">
        <f>Lists!G10</f>
        <v>Commercial</v>
      </c>
      <c r="Z10">
        <f>COUNTIFS(
tblDiscussions[Category],Y10,
tblDiscussions[Status],"&lt;&gt;",
tblDiscussions[Status],"&lt;&gt;Closed"
)</f>
        <v>0</v>
      </c>
    </row>
    <row r="11" spans="1:26">
      <c r="Y11" t="str">
        <f>Lists!G11</f>
        <v>Logistics</v>
      </c>
      <c r="Z11">
        <f>COUNTIFS(
tblDiscussions[Category],Y11,
tblDiscussions[Status],"&lt;&gt;",
tblDiscussions[Status],"&lt;&gt;Closed"
)</f>
        <v>0</v>
      </c>
    </row>
    <row r="12" spans="1:26">
      <c r="Y12" t="str">
        <f>Lists!G12</f>
        <v>Drawing</v>
      </c>
      <c r="Z12">
        <f>COUNTIFS(
tblDiscussions[Category],Y12,
tblDiscussions[Status],"&lt;&gt;",
tblDiscussions[Status],"&lt;&gt;Closed"
)</f>
        <v>0</v>
      </c>
    </row>
    <row r="13" spans="1:26">
      <c r="Y13" t="str">
        <f>Lists!G13</f>
        <v>Packaging</v>
      </c>
      <c r="Z13">
        <f>COUNTIFS(
tblDiscussions[Category],Y13,
tblDiscussions[Status],"&lt;&gt;",
tblDiscussions[Status],"&lt;&gt;Closed"
)</f>
        <v>0</v>
      </c>
    </row>
    <row r="14" spans="1:26">
      <c r="Y14" t="str">
        <f>Lists!G14</f>
        <v>Other</v>
      </c>
      <c r="Z14">
        <f>COUNTIFS(
tblDiscussions[Category],Y14,
tblDiscussions[Status],"&lt;&gt;",
tblDiscussions[Status],"&lt;&gt;Closed"
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Project Info</vt:lpstr>
      <vt:lpstr>Technical Discussions</vt:lpstr>
      <vt:lpstr>Action Items</vt:lpstr>
      <vt:lpstr>Meetings</vt:lpstr>
      <vt:lpstr>RFQ Tracker</vt:lpstr>
      <vt:lpstr>Lists</vt:lpstr>
      <vt:lpstr>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Strumtza</dc:creator>
  <cp:lastModifiedBy>Nadav Strumtza</cp:lastModifiedBy>
  <dcterms:created xsi:type="dcterms:W3CDTF">2015-06-05T18:17:20Z</dcterms:created>
  <dcterms:modified xsi:type="dcterms:W3CDTF">2026-07-16T13:55:22Z</dcterms:modified>
</cp:coreProperties>
</file>